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ood\Documents\"/>
    </mc:Choice>
  </mc:AlternateContent>
  <xr:revisionPtr revIDLastSave="0" documentId="13_ncr:1_{29541B50-3307-4E3A-9C67-D4C5F0CC49D2}" xr6:coauthVersionLast="47" xr6:coauthVersionMax="47" xr10:uidLastSave="{00000000-0000-0000-0000-000000000000}"/>
  <bookViews>
    <workbookView xWindow="-110" yWindow="-110" windowWidth="25820" windowHeight="16220" xr2:uid="{B05FD263-A6E1-49B2-B5E5-FA07B3A97449}"/>
  </bookViews>
  <sheets>
    <sheet name="Data Cleaned" sheetId="2" r:id="rId1"/>
    <sheet name="Sheet1" sheetId="1" r:id="rId2"/>
  </sheets>
  <definedNames>
    <definedName name="EAST_OF_ENG">'Data Cleaned'!$A$2:$AD$23</definedName>
    <definedName name="ExternalData_1" localSheetId="0" hidden="1">'Data Cleaned'!$A$1:$AD$210</definedName>
    <definedName name="LONDON_COMM">'Data Cleaned'!$A$24:$AD$58</definedName>
    <definedName name="MIDLANDS_COMM">'Data Cleaned'!$A$59:$AD$98</definedName>
    <definedName name="NE_YORK_COMM">'Data Cleaned'!$A$99:$AD$131</definedName>
    <definedName name="NW_COMM">'Data Cleaned'!$A$132:$AD$162</definedName>
    <definedName name="SE_COMM">'Data Cleaned'!$A$163:$AD$191</definedName>
    <definedName name="SW_COMM">'Data Cleaned'!$A$192:$AD$210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2" l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93C00F-6051-420C-AB1E-5747D96FF360}" keepAlive="1" name="Query - ERIC - 2023_24 - Trust data" description="Connection to the 'ERIC - 2023_24 - Trust data' query in the workbook." type="5" refreshedVersion="8" background="1" saveData="1">
    <dbPr connection="Provider=Microsoft.Mashup.OleDb.1;Data Source=$Workbook$;Location=&quot;ERIC - 2023_24 - Trust data&quot;;Extended Properties=&quot;&quot;" command="SELECT * FROM [ERIC - 2023_24 - Trust data]"/>
  </connection>
</connections>
</file>

<file path=xl/sharedStrings.xml><?xml version="1.0" encoding="utf-8"?>
<sst xmlns="http://schemas.openxmlformats.org/spreadsheetml/2006/main" count="2121" uniqueCount="1335">
  <si>
    <t>Trust Code</t>
  </si>
  <si>
    <t>Trust Name</t>
  </si>
  <si>
    <t>Commissioning Region</t>
  </si>
  <si>
    <t>Total number of sites (No.)</t>
  </si>
  <si>
    <t>Waste re-use scheme - Cost savings (£)</t>
  </si>
  <si>
    <t>WEEE waste cost (£)</t>
  </si>
  <si>
    <t>Capital investment for new build (£)</t>
  </si>
  <si>
    <t>Capital investment for changing/improving existing buildings (£)</t>
  </si>
  <si>
    <t>Capital investment for maintaining (lifecycle) existing buildings (£)</t>
  </si>
  <si>
    <t>Capital investment for equipment (£)</t>
  </si>
  <si>
    <t>Private sector funding investment (£)</t>
  </si>
  <si>
    <t>Public sector funding investment (£)</t>
  </si>
  <si>
    <t>Charity and/or grant investment (£)</t>
  </si>
  <si>
    <t>Number of energy efficient schemes (No)</t>
  </si>
  <si>
    <t>Energy efficient schemes costs (£)</t>
  </si>
  <si>
    <t>Contribution to costs from areas leased out for retail sales (£)</t>
  </si>
  <si>
    <t>Contribution to costs from non NHS organisations (£)</t>
  </si>
  <si>
    <t>Contribution to costs from NHS organisations (£)</t>
  </si>
  <si>
    <t>Contribution to costs from local authorities (£)</t>
  </si>
  <si>
    <t>Income from car parking - patients and visitors (£)</t>
  </si>
  <si>
    <t>Income from car parking - staff (£)</t>
  </si>
  <si>
    <t>Total contributions (£)</t>
  </si>
  <si>
    <t>Medical Records cost - Onsite (£)</t>
  </si>
  <si>
    <t>Medical Records cost - Offsite (£)</t>
  </si>
  <si>
    <t>R0A</t>
  </si>
  <si>
    <t>MANCHESTER UNIVERSITY NHS FOUNDATION TRUST</t>
  </si>
  <si>
    <t>NORTH WEST COMMISSIONING REGION</t>
  </si>
  <si>
    <t>4,141</t>
  </si>
  <si>
    <t>Not Applicable</t>
  </si>
  <si>
    <t>-166,270</t>
  </si>
  <si>
    <t>-3,401,999</t>
  </si>
  <si>
    <t>-2,261,209</t>
  </si>
  <si>
    <t>5,557,232</t>
  </si>
  <si>
    <t>524,104</t>
  </si>
  <si>
    <t>R0B</t>
  </si>
  <si>
    <t>SOUTH TYNESIDE AND SUNDERLAND NHS FOUNDATION TRUST</t>
  </si>
  <si>
    <t>NORTH EAST AND YORKSHIRE COMMISSIONING REGION</t>
  </si>
  <si>
    <t>8,225</t>
  </si>
  <si>
    <t>76,942</t>
  </si>
  <si>
    <t>-1,529,823</t>
  </si>
  <si>
    <t>-756,582</t>
  </si>
  <si>
    <t>1,154,972</t>
  </si>
  <si>
    <t>528,858</t>
  </si>
  <si>
    <t>R0D</t>
  </si>
  <si>
    <t>UNIVERSITY HOSPITALS DORSET NHS FOUNDATION TRUST</t>
  </si>
  <si>
    <t>SOUTH WEST COMMISSIONING REGION</t>
  </si>
  <si>
    <t>642,139</t>
  </si>
  <si>
    <t>-436,257</t>
  </si>
  <si>
    <t>-1,250,851</t>
  </si>
  <si>
    <t>-1,113,243</t>
  </si>
  <si>
    <t>1,318,124</t>
  </si>
  <si>
    <t>227,047</t>
  </si>
  <si>
    <t>R1A</t>
  </si>
  <si>
    <t>HEREFORDSHIRE AND WORCESTERSHIRE HEALTH AND CARE NHS TRUST</t>
  </si>
  <si>
    <t>MIDLANDS COMMISSIONING REGION</t>
  </si>
  <si>
    <t>591,000</t>
  </si>
  <si>
    <t>0</t>
  </si>
  <si>
    <t>187,229</t>
  </si>
  <si>
    <t>123,636</t>
  </si>
  <si>
    <t>R1C</t>
  </si>
  <si>
    <t>SOLENT NHS TRUST</t>
  </si>
  <si>
    <t>SOUTH EAST COMMISSIONING REGION</t>
  </si>
  <si>
    <t>23,155</t>
  </si>
  <si>
    <t>789,000</t>
  </si>
  <si>
    <t>-270,300</t>
  </si>
  <si>
    <t>31,174</t>
  </si>
  <si>
    <t>62,480</t>
  </si>
  <si>
    <t>R1D</t>
  </si>
  <si>
    <t>SHROPSHIRE COMMUNITY HEALTH NHS TRUST</t>
  </si>
  <si>
    <t>16,223</t>
  </si>
  <si>
    <t>22,629</t>
  </si>
  <si>
    <t>70,135</t>
  </si>
  <si>
    <t>R1F</t>
  </si>
  <si>
    <t>ISLE OF WIGHT NHS TRUST</t>
  </si>
  <si>
    <t>-111,068</t>
  </si>
  <si>
    <t>-420,240</t>
  </si>
  <si>
    <t>-175,018</t>
  </si>
  <si>
    <t>123,683</t>
  </si>
  <si>
    <t>1,398,640</t>
  </si>
  <si>
    <t>R1H</t>
  </si>
  <si>
    <t>BARTS HEALTH NHS TRUST</t>
  </si>
  <si>
    <t>LONDON COMMISSIONING REGION</t>
  </si>
  <si>
    <t>64,610</t>
  </si>
  <si>
    <t>-1,319,001</t>
  </si>
  <si>
    <t>5,653,431</t>
  </si>
  <si>
    <t>3,011,887</t>
  </si>
  <si>
    <t>R1K</t>
  </si>
  <si>
    <t>LONDON NORTH WEST UNIVERSITY HEALTHCARE NHS TRUST</t>
  </si>
  <si>
    <t>7,294</t>
  </si>
  <si>
    <t>739,028</t>
  </si>
  <si>
    <t>-243,615</t>
  </si>
  <si>
    <t>-1,932,366</t>
  </si>
  <si>
    <t>-691,662</t>
  </si>
  <si>
    <t>2,404,796</t>
  </si>
  <si>
    <t>795,716</t>
  </si>
  <si>
    <t>R1L</t>
  </si>
  <si>
    <t>ESSEX PARTNERSHIP UNIVERSITY NHS FOUNDATION TRUST</t>
  </si>
  <si>
    <t>EAST OF ENGLAND COMMISSIONING REGION</t>
  </si>
  <si>
    <t>1,824</t>
  </si>
  <si>
    <t>17,040</t>
  </si>
  <si>
    <t>375,577</t>
  </si>
  <si>
    <t>RA2</t>
  </si>
  <si>
    <t>ROYAL SURREY COUNTY HOSPITAL NHS FOUNDATION TRUST</t>
  </si>
  <si>
    <t>109,163</t>
  </si>
  <si>
    <t>-350,997</t>
  </si>
  <si>
    <t>-1,129,072</t>
  </si>
  <si>
    <t>-463,138</t>
  </si>
  <si>
    <t>1,204,000</t>
  </si>
  <si>
    <t>287,125</t>
  </si>
  <si>
    <t>RA7</t>
  </si>
  <si>
    <t>UNIVERSITY HOSPITALS BRISTOL AND WESTON NHS FOUNDATION TRUST</t>
  </si>
  <si>
    <t>65,622</t>
  </si>
  <si>
    <t>-32,600</t>
  </si>
  <si>
    <t>-947,553</t>
  </si>
  <si>
    <t>-298,375</t>
  </si>
  <si>
    <t>3,180,721</t>
  </si>
  <si>
    <t>253,013</t>
  </si>
  <si>
    <t>RA9</t>
  </si>
  <si>
    <t>TORBAY AND SOUTH DEVON NHS FOUNDATION TRUST</t>
  </si>
  <si>
    <t>15,803</t>
  </si>
  <si>
    <t>-216,046</t>
  </si>
  <si>
    <t>-1,011,409</t>
  </si>
  <si>
    <t>-259,419</t>
  </si>
  <si>
    <t>2,371,652</t>
  </si>
  <si>
    <t>49,464</t>
  </si>
  <si>
    <t>RAE</t>
  </si>
  <si>
    <t>BRADFORD TEACHING HOSPITALS NHS FOUNDATION TRUST</t>
  </si>
  <si>
    <t>78,085</t>
  </si>
  <si>
    <t>-429,688</t>
  </si>
  <si>
    <t>-683,801</t>
  </si>
  <si>
    <t>-488,410</t>
  </si>
  <si>
    <t>96,160</t>
  </si>
  <si>
    <t>245,543</t>
  </si>
  <si>
    <t>RAJ</t>
  </si>
  <si>
    <t>MID AND SOUTH ESSEX NHS FOUNDATION TRUST</t>
  </si>
  <si>
    <t>9,829</t>
  </si>
  <si>
    <t>-204,604</t>
  </si>
  <si>
    <t>-3,427,153</t>
  </si>
  <si>
    <t>-5,495</t>
  </si>
  <si>
    <t>4,001,479</t>
  </si>
  <si>
    <t>419,000</t>
  </si>
  <si>
    <t>RAL</t>
  </si>
  <si>
    <t>ROYAL FREE LONDON NHS FOUNDATION TRUST</t>
  </si>
  <si>
    <t>10,351</t>
  </si>
  <si>
    <t>-1,344,539</t>
  </si>
  <si>
    <t>-2,330,553</t>
  </si>
  <si>
    <t>-597,992</t>
  </si>
  <si>
    <t>680,782</t>
  </si>
  <si>
    <t>269,025</t>
  </si>
  <si>
    <t>RAN</t>
  </si>
  <si>
    <t>ROYAL NATIONAL ORTHOPAEDIC HOSPITAL NHS TRUST</t>
  </si>
  <si>
    <t>350,000</t>
  </si>
  <si>
    <t>256,927</t>
  </si>
  <si>
    <t>72,951</t>
  </si>
  <si>
    <t>RAP</t>
  </si>
  <si>
    <t>NORTH MIDDLESEX UNIVERSITY HOSPITAL NHS TRUST</t>
  </si>
  <si>
    <t>32,430</t>
  </si>
  <si>
    <t>-991,638</t>
  </si>
  <si>
    <t>-171,251</t>
  </si>
  <si>
    <t>1,645,496</t>
  </si>
  <si>
    <t>349,097</t>
  </si>
  <si>
    <t>RAS</t>
  </si>
  <si>
    <t>THE HILLINGDON HOSPITALS NHS FOUNDATION TRUST</t>
  </si>
  <si>
    <t>15,000</t>
  </si>
  <si>
    <t>-1,217,063</t>
  </si>
  <si>
    <t>-849,571</t>
  </si>
  <si>
    <t>623,320</t>
  </si>
  <si>
    <t>461,956</t>
  </si>
  <si>
    <t>RAT</t>
  </si>
  <si>
    <t>NORTH EAST LONDON NHS FOUNDATION TRUST</t>
  </si>
  <si>
    <t>12,168</t>
  </si>
  <si>
    <t>71,288</t>
  </si>
  <si>
    <t>RAX</t>
  </si>
  <si>
    <t>KINGSTON HOSPITAL NHS FOUNDATION TRUST</t>
  </si>
  <si>
    <t>2,653,000</t>
  </si>
  <si>
    <t>-168,808</t>
  </si>
  <si>
    <t>-1,137,184</t>
  </si>
  <si>
    <t>-121,452</t>
  </si>
  <si>
    <t>2,416,221</t>
  </si>
  <si>
    <t>206,922</t>
  </si>
  <si>
    <t>RBD</t>
  </si>
  <si>
    <t>DORSET COUNTY HOSPITAL NHS FOUNDATION TRUST</t>
  </si>
  <si>
    <t>111,422</t>
  </si>
  <si>
    <t>188,194</t>
  </si>
  <si>
    <t>-128,759</t>
  </si>
  <si>
    <t>-317,129</t>
  </si>
  <si>
    <t>810,265</t>
  </si>
  <si>
    <t>72,134</t>
  </si>
  <si>
    <t>RBK</t>
  </si>
  <si>
    <t>WALSALL HEALTHCARE NHS TRUST</t>
  </si>
  <si>
    <t>-1,324,944</t>
  </si>
  <si>
    <t>1,358,128</t>
  </si>
  <si>
    <t>442,836</t>
  </si>
  <si>
    <t>RBL</t>
  </si>
  <si>
    <t>WIRRAL UNIVERSITY TEACHING HOSPITAL NHS FOUNDATION TRUST</t>
  </si>
  <si>
    <t>-87,445</t>
  </si>
  <si>
    <t>-1,087,251</t>
  </si>
  <si>
    <t>-796,462</t>
  </si>
  <si>
    <t>235,685</t>
  </si>
  <si>
    <t>45,959</t>
  </si>
  <si>
    <t>RBN</t>
  </si>
  <si>
    <t>MERSEY AND WEST LANCASHIRE TEACHING HOSPITALS NHS TRUST</t>
  </si>
  <si>
    <t>10,693</t>
  </si>
  <si>
    <t>-1,993,055</t>
  </si>
  <si>
    <t>-1,031,732</t>
  </si>
  <si>
    <t>529,095</t>
  </si>
  <si>
    <t>61,934</t>
  </si>
  <si>
    <t>RBQ</t>
  </si>
  <si>
    <t>LIVERPOOL HEART AND CHEST HOSPITAL NHS FOUNDATION TRUST</t>
  </si>
  <si>
    <t>447,890</t>
  </si>
  <si>
    <t>-285,151</t>
  </si>
  <si>
    <t>47,344</t>
  </si>
  <si>
    <t>RBS</t>
  </si>
  <si>
    <t>ALDER HEY CHILDRENS NHS FOUNDATION TRUST</t>
  </si>
  <si>
    <t>-576,449</t>
  </si>
  <si>
    <t>-495,830</t>
  </si>
  <si>
    <t>438,695</t>
  </si>
  <si>
    <t>95,580</t>
  </si>
  <si>
    <t>RBT</t>
  </si>
  <si>
    <t>THE MID CHESHIRE HOSPITALS NHS FOUNDATION TRUST</t>
  </si>
  <si>
    <t>1,132</t>
  </si>
  <si>
    <t>469,000</t>
  </si>
  <si>
    <t>-784,543</t>
  </si>
  <si>
    <t>-533,737</t>
  </si>
  <si>
    <t>946,502</t>
  </si>
  <si>
    <t>209,547</t>
  </si>
  <si>
    <t>RBV</t>
  </si>
  <si>
    <t>THE CHRISTIE NHS FOUNDATION TRUST</t>
  </si>
  <si>
    <t>9,738</t>
  </si>
  <si>
    <t>-178,165</t>
  </si>
  <si>
    <t>-128,208</t>
  </si>
  <si>
    <t>-241,438</t>
  </si>
  <si>
    <t>221,608</t>
  </si>
  <si>
    <t>80,589</t>
  </si>
  <si>
    <t>RC9</t>
  </si>
  <si>
    <t>BEDFORDSHIRE HOSPITALS NHS FOUNDATION TRUST</t>
  </si>
  <si>
    <t>2,310,000</t>
  </si>
  <si>
    <t>-115,126</t>
  </si>
  <si>
    <t>-2,217,853</t>
  </si>
  <si>
    <t>183,411</t>
  </si>
  <si>
    <t>467,887</t>
  </si>
  <si>
    <t>RCB</t>
  </si>
  <si>
    <t>YORK AND SCARBOROUGH TEACHING HOSPITALS NHS FOUNDATION TRUST</t>
  </si>
  <si>
    <t>923</t>
  </si>
  <si>
    <t>2,037,443</t>
  </si>
  <si>
    <t>-127,778</t>
  </si>
  <si>
    <t>-1,981,870</t>
  </si>
  <si>
    <t>-234,318</t>
  </si>
  <si>
    <t>2,383,687</t>
  </si>
  <si>
    <t>127,042</t>
  </si>
  <si>
    <t>RCD</t>
  </si>
  <si>
    <t>HARROGATE AND DISTRICT NHS FOUNDATION TRUST</t>
  </si>
  <si>
    <t>2,646,591</t>
  </si>
  <si>
    <t>-123,111</t>
  </si>
  <si>
    <t>-736,856</t>
  </si>
  <si>
    <t>-121,252</t>
  </si>
  <si>
    <t>257,690</t>
  </si>
  <si>
    <t>192,892</t>
  </si>
  <si>
    <t>RCF</t>
  </si>
  <si>
    <t>AIREDALE NHS FOUNDATION TRUST</t>
  </si>
  <si>
    <t>1,500</t>
  </si>
  <si>
    <t>-52,783</t>
  </si>
  <si>
    <t>-1,246,829</t>
  </si>
  <si>
    <t>-47,277</t>
  </si>
  <si>
    <t>715,884</t>
  </si>
  <si>
    <t>RCU</t>
  </si>
  <si>
    <t>SHEFFIELD CHILDRENS NHS FOUNDATION TRUST</t>
  </si>
  <si>
    <t>5,000</t>
  </si>
  <si>
    <t>-215,327</t>
  </si>
  <si>
    <t>-20,181</t>
  </si>
  <si>
    <t>-490</t>
  </si>
  <si>
    <t>763,727</t>
  </si>
  <si>
    <t>4,221</t>
  </si>
  <si>
    <t>RCX</t>
  </si>
  <si>
    <t>THE QUEEN ELIZABETH HOSPITAL KING'S LYNN NHS FOUNDATION TRUST</t>
  </si>
  <si>
    <t>20,000</t>
  </si>
  <si>
    <t>197,573</t>
  </si>
  <si>
    <t>-255,356</t>
  </si>
  <si>
    <t>-832,074</t>
  </si>
  <si>
    <t>689,816</t>
  </si>
  <si>
    <t>53,358</t>
  </si>
  <si>
    <t>RD1</t>
  </si>
  <si>
    <t>ROYAL UNITED HOSPITALS BATH NHS FOUNDATION TRUST</t>
  </si>
  <si>
    <t>-8,278</t>
  </si>
  <si>
    <t>-1,613,416</t>
  </si>
  <si>
    <t>-14,830</t>
  </si>
  <si>
    <t>616,771</t>
  </si>
  <si>
    <t>385,470</t>
  </si>
  <si>
    <t>RD8</t>
  </si>
  <si>
    <t>MILTON KEYNES UNIVERSITY HOSPITAL NHS FOUNDATION TRUST</t>
  </si>
  <si>
    <t>1,186,592</t>
  </si>
  <si>
    <t>-1,428,771</t>
  </si>
  <si>
    <t>-22,784</t>
  </si>
  <si>
    <t>668,217</t>
  </si>
  <si>
    <t>8,576</t>
  </si>
  <si>
    <t>RDE</t>
  </si>
  <si>
    <t>EAST SUFFOLK AND NORTH ESSEX NHS FOUNDATION TRUST</t>
  </si>
  <si>
    <t>-1,545,640</t>
  </si>
  <si>
    <t>-2,908,163</t>
  </si>
  <si>
    <t>-564,727</t>
  </si>
  <si>
    <t>1,525,639</t>
  </si>
  <si>
    <t>92,495</t>
  </si>
  <si>
    <t>RDR</t>
  </si>
  <si>
    <t>SUSSEX COMMUNITY NHS FOUNDATION TRUST</t>
  </si>
  <si>
    <t>19,678</t>
  </si>
  <si>
    <t>309,462</t>
  </si>
  <si>
    <t>66,382</t>
  </si>
  <si>
    <t>RDU</t>
  </si>
  <si>
    <t>FRIMLEY HEALTH NHS FOUNDATION TRUST</t>
  </si>
  <si>
    <t>34,277</t>
  </si>
  <si>
    <t>-3,380,794</t>
  </si>
  <si>
    <t>-1,390,749</t>
  </si>
  <si>
    <t>211,197</t>
  </si>
  <si>
    <t>151,216</t>
  </si>
  <si>
    <t>RDY</t>
  </si>
  <si>
    <t>DORSET HEALTHCARE UNIVERSITY NHS FOUNDATION TRUST</t>
  </si>
  <si>
    <t>-13,316</t>
  </si>
  <si>
    <t>381,388</t>
  </si>
  <si>
    <t>REF</t>
  </si>
  <si>
    <t>ROYAL CORNWALL HOSPITALS NHS TRUST</t>
  </si>
  <si>
    <t>-221,774</t>
  </si>
  <si>
    <t>-1,646,540</t>
  </si>
  <si>
    <t>-554,755</t>
  </si>
  <si>
    <t>1,470,454</t>
  </si>
  <si>
    <t>291,131</t>
  </si>
  <si>
    <t>REM</t>
  </si>
  <si>
    <t>LIVERPOOL UNIVERSITY HOSPITALS NHS FOUNDATION TRUST</t>
  </si>
  <si>
    <t>59,818</t>
  </si>
  <si>
    <t>1,876,806</t>
  </si>
  <si>
    <t>-125,544</t>
  </si>
  <si>
    <t>-1,997,714</t>
  </si>
  <si>
    <t>-1,941,707</t>
  </si>
  <si>
    <t>1,120,134</t>
  </si>
  <si>
    <t>REN</t>
  </si>
  <si>
    <t>CLATTERBRIDGE CANCER CENTRE NHS FOUNDATION TRUST</t>
  </si>
  <si>
    <t>78,000</t>
  </si>
  <si>
    <t>-139,727</t>
  </si>
  <si>
    <t>28,694</t>
  </si>
  <si>
    <t>45,274</t>
  </si>
  <si>
    <t>REP</t>
  </si>
  <si>
    <t>LIVERPOOL WOMEN'S NHS FOUNDATION TRUST</t>
  </si>
  <si>
    <t>164,960</t>
  </si>
  <si>
    <t>-42,988</t>
  </si>
  <si>
    <t>-119,616</t>
  </si>
  <si>
    <t>-358,453</t>
  </si>
  <si>
    <t>512,000</t>
  </si>
  <si>
    <t>619,000</t>
  </si>
  <si>
    <t>RET</t>
  </si>
  <si>
    <t>WALTON CENTRE NHS FOUNDATION TRUST</t>
  </si>
  <si>
    <t>-62,180</t>
  </si>
  <si>
    <t>-33,544</t>
  </si>
  <si>
    <t>73,203</t>
  </si>
  <si>
    <t>45,325</t>
  </si>
  <si>
    <t>RF4</t>
  </si>
  <si>
    <t>BARKING, HAVERING AND REDBRIDGE UNIVERSITY HOSPITALS NHS TRUST</t>
  </si>
  <si>
    <t>6,237</t>
  </si>
  <si>
    <t>46,000</t>
  </si>
  <si>
    <t>-1,899,808</t>
  </si>
  <si>
    <t>-1,005,151</t>
  </si>
  <si>
    <t>1,744,946</t>
  </si>
  <si>
    <t>226,800</t>
  </si>
  <si>
    <t>RFF</t>
  </si>
  <si>
    <t>BARNSLEY HOSPITAL NHS FOUNDATION TRUST</t>
  </si>
  <si>
    <t>37,190</t>
  </si>
  <si>
    <t>-162,214</t>
  </si>
  <si>
    <t>-1,063,251</t>
  </si>
  <si>
    <t>-485,501</t>
  </si>
  <si>
    <t>991,526</t>
  </si>
  <si>
    <t>65,447</t>
  </si>
  <si>
    <t>RFR</t>
  </si>
  <si>
    <t>THE ROTHERHAM NHS FOUNDATION TRUST</t>
  </si>
  <si>
    <t>11,740</t>
  </si>
  <si>
    <t>-597,937</t>
  </si>
  <si>
    <t>-443,519</t>
  </si>
  <si>
    <t>1,488,433</t>
  </si>
  <si>
    <t>91,697</t>
  </si>
  <si>
    <t>RFS</t>
  </si>
  <si>
    <t>CHESTERFIELD ROYAL HOSPITAL NHS FOUNDATION TRUST</t>
  </si>
  <si>
    <t>9,957</t>
  </si>
  <si>
    <t>147,000</t>
  </si>
  <si>
    <t>-1,192,346</t>
  </si>
  <si>
    <t>-170,600</t>
  </si>
  <si>
    <t>1,404,015</t>
  </si>
  <si>
    <t>63,055</t>
  </si>
  <si>
    <t>RGD</t>
  </si>
  <si>
    <t>LEEDS AND YORK PARTNERSHIP NHS FOUNDATION TRUST</t>
  </si>
  <si>
    <t>380,280</t>
  </si>
  <si>
    <t>100,064</t>
  </si>
  <si>
    <t>RGM</t>
  </si>
  <si>
    <t>ROYAL PAPWORTH HOSPITAL NHS FOUNDATION TRUST</t>
  </si>
  <si>
    <t>30,290</t>
  </si>
  <si>
    <t>RGN</t>
  </si>
  <si>
    <t>NORTH WEST ANGLIA NHS FOUNDATION TRUST</t>
  </si>
  <si>
    <t>3,750,000</t>
  </si>
  <si>
    <t>-178,280</t>
  </si>
  <si>
    <t>-2,055,824</t>
  </si>
  <si>
    <t>1,283,769</t>
  </si>
  <si>
    <t>759,896</t>
  </si>
  <si>
    <t>RGP</t>
  </si>
  <si>
    <t>JAMES PAGET UNIVERSITY HOSPITALS NHS FOUNDATION TRUST</t>
  </si>
  <si>
    <t>80,000</t>
  </si>
  <si>
    <t>-35,125</t>
  </si>
  <si>
    <t>-709,428</t>
  </si>
  <si>
    <t>-44,812</t>
  </si>
  <si>
    <t>1,147,056</t>
  </si>
  <si>
    <t>RGR</t>
  </si>
  <si>
    <t>WEST SUFFOLK NHS FOUNDATION TRUST</t>
  </si>
  <si>
    <t>1,250</t>
  </si>
  <si>
    <t>-135,461</t>
  </si>
  <si>
    <t>-1,178,658</t>
  </si>
  <si>
    <t>-465,052</t>
  </si>
  <si>
    <t>1,074,054</t>
  </si>
  <si>
    <t>RGT</t>
  </si>
  <si>
    <t>CAMBRIDGE UNIVERSITY HOSPITALS NHS FOUNDATION TRUST</t>
  </si>
  <si>
    <t>121,310</t>
  </si>
  <si>
    <t>-664,891</t>
  </si>
  <si>
    <t>-9,271</t>
  </si>
  <si>
    <t>-1,113,369</t>
  </si>
  <si>
    <t>168,994</t>
  </si>
  <si>
    <t>24,400</t>
  </si>
  <si>
    <t>RH5</t>
  </si>
  <si>
    <t>SOMERSET NHS FOUNDATION TRUST</t>
  </si>
  <si>
    <t>30,000</t>
  </si>
  <si>
    <t>305,866</t>
  </si>
  <si>
    <t>-2,289,614</t>
  </si>
  <si>
    <t>-775,475</t>
  </si>
  <si>
    <t>1,598,190</t>
  </si>
  <si>
    <t>RH8</t>
  </si>
  <si>
    <t>ROYAL DEVON UNIVERSITY HEALTHCARE NHS FOUNDATION TRUST</t>
  </si>
  <si>
    <t>26,603</t>
  </si>
  <si>
    <t>172,000</t>
  </si>
  <si>
    <t>-605,210</t>
  </si>
  <si>
    <t>-40,750</t>
  </si>
  <si>
    <t>1,084,738</t>
  </si>
  <si>
    <t>23,295</t>
  </si>
  <si>
    <t>RHA</t>
  </si>
  <si>
    <t>NOTTINGHAMSHIRE HEALTHCARE NHS FOUNDATION TRUST</t>
  </si>
  <si>
    <t>9,866</t>
  </si>
  <si>
    <t>46,176</t>
  </si>
  <si>
    <t>311,450</t>
  </si>
  <si>
    <t>RHM</t>
  </si>
  <si>
    <t>UNIVERSITY HOSPITAL SOUTHAMPTON NHS FOUNDATION TRUST</t>
  </si>
  <si>
    <t>-95,230</t>
  </si>
  <si>
    <t>-2,889,396</t>
  </si>
  <si>
    <t>-1,336,461</t>
  </si>
  <si>
    <t>792,131</t>
  </si>
  <si>
    <t>185,534</t>
  </si>
  <si>
    <t>RHQ</t>
  </si>
  <si>
    <t>SHEFFIELD TEACHING HOSPITALS NHS FOUNDATION TRUST</t>
  </si>
  <si>
    <t>638,461</t>
  </si>
  <si>
    <t>-504,464</t>
  </si>
  <si>
    <t>-2,185,930</t>
  </si>
  <si>
    <t>-1,001,574</t>
  </si>
  <si>
    <t>4,042,420</t>
  </si>
  <si>
    <t>168,454</t>
  </si>
  <si>
    <t>RHU</t>
  </si>
  <si>
    <t>PORTSMOUTH HOSPITALS UNIVERSITY NHS TRUST</t>
  </si>
  <si>
    <t>3,108,000</t>
  </si>
  <si>
    <t>-21,324</t>
  </si>
  <si>
    <t>-2,445,175</t>
  </si>
  <si>
    <t>-594,077</t>
  </si>
  <si>
    <t>917,388</t>
  </si>
  <si>
    <t>427,311</t>
  </si>
  <si>
    <t>RHW</t>
  </si>
  <si>
    <t>ROYAL BERKSHIRE NHS FOUNDATION TRUST</t>
  </si>
  <si>
    <t>2,444,972</t>
  </si>
  <si>
    <t>-307,764</t>
  </si>
  <si>
    <t>-1,532,586</t>
  </si>
  <si>
    <t>-472,772</t>
  </si>
  <si>
    <t>459,850</t>
  </si>
  <si>
    <t>204,006</t>
  </si>
  <si>
    <t>RJ1</t>
  </si>
  <si>
    <t>GUY'S AND ST THOMAS' NHS FOUNDATION TRUST</t>
  </si>
  <si>
    <t>6,000</t>
  </si>
  <si>
    <t>-1,236,841</t>
  </si>
  <si>
    <t>-796,164</t>
  </si>
  <si>
    <t>-70,689</t>
  </si>
  <si>
    <t>2,340,549</t>
  </si>
  <si>
    <t>403,197</t>
  </si>
  <si>
    <t>RJ2</t>
  </si>
  <si>
    <t>THE LEWISHAM AND GREENWICH NHS TRUST</t>
  </si>
  <si>
    <t>2,461,045</t>
  </si>
  <si>
    <t>-400,934</t>
  </si>
  <si>
    <t>-1,505,753</t>
  </si>
  <si>
    <t>-265,672</t>
  </si>
  <si>
    <t>2,006,167</t>
  </si>
  <si>
    <t>293,000</t>
  </si>
  <si>
    <t>RJ6</t>
  </si>
  <si>
    <t>CROYDON HEALTH SERVICES NHS TRUST</t>
  </si>
  <si>
    <t>-170,130</t>
  </si>
  <si>
    <t>-1,132,268</t>
  </si>
  <si>
    <t>-190,353</t>
  </si>
  <si>
    <t>467,899</t>
  </si>
  <si>
    <t>216,347</t>
  </si>
  <si>
    <t>RJ7</t>
  </si>
  <si>
    <t>ST GEORGE'S UNIVERSITY HOSPITALS NHS FOUNDATION TRUST</t>
  </si>
  <si>
    <t>-309,024</t>
  </si>
  <si>
    <t>-1,476,451</t>
  </si>
  <si>
    <t>-145,251</t>
  </si>
  <si>
    <t>2,041,095</t>
  </si>
  <si>
    <t>1,020,703</t>
  </si>
  <si>
    <t>RJ8</t>
  </si>
  <si>
    <t>CORNWALL PARTNERSHIP NHS FOUNDATION TRUST</t>
  </si>
  <si>
    <t>37,932</t>
  </si>
  <si>
    <t>165,174</t>
  </si>
  <si>
    <t>RJC</t>
  </si>
  <si>
    <t>SOUTH WARWICKSHIRE UNIVERSITY NHS FOUNDATION TRUST</t>
  </si>
  <si>
    <t>58,000</t>
  </si>
  <si>
    <t>-354,691</t>
  </si>
  <si>
    <t>-1,208,048</t>
  </si>
  <si>
    <t>-467,107</t>
  </si>
  <si>
    <t>961,188</t>
  </si>
  <si>
    <t>130,902</t>
  </si>
  <si>
    <t>RJE</t>
  </si>
  <si>
    <t>UNIVERSITY HOSPITALS OF NORTH MIDLANDS NHS TRUST</t>
  </si>
  <si>
    <t>76,768</t>
  </si>
  <si>
    <t>-128,990</t>
  </si>
  <si>
    <t>-2,451,337</t>
  </si>
  <si>
    <t>-957,843</t>
  </si>
  <si>
    <t>1,008,677</t>
  </si>
  <si>
    <t>343,478</t>
  </si>
  <si>
    <t>RJL</t>
  </si>
  <si>
    <t>NORTHERN LINCOLNSHIRE AND GOOLE NHS FOUNDATION TRUST</t>
  </si>
  <si>
    <t>95,900</t>
  </si>
  <si>
    <t>936,000</t>
  </si>
  <si>
    <t>-98,317</t>
  </si>
  <si>
    <t>-1,535,197</t>
  </si>
  <si>
    <t>-477,469</t>
  </si>
  <si>
    <t>2,582,469</t>
  </si>
  <si>
    <t>232,070</t>
  </si>
  <si>
    <t>RJN</t>
  </si>
  <si>
    <t>EAST CHESHIRE NHS TRUST</t>
  </si>
  <si>
    <t>-116,101</t>
  </si>
  <si>
    <t>-570,635</t>
  </si>
  <si>
    <t>-281,909</t>
  </si>
  <si>
    <t>732,917</t>
  </si>
  <si>
    <t>23,177</t>
  </si>
  <si>
    <t>RJR</t>
  </si>
  <si>
    <t>COUNTESS OF CHESTER HOSPITAL NHS FOUNDATION TRUST</t>
  </si>
  <si>
    <t>9,450</t>
  </si>
  <si>
    <t>-190,083</t>
  </si>
  <si>
    <t>-1,040,522</t>
  </si>
  <si>
    <t>-189,491</t>
  </si>
  <si>
    <t>169,753</t>
  </si>
  <si>
    <t>77,241</t>
  </si>
  <si>
    <t>RJZ</t>
  </si>
  <si>
    <t>KING'S COLLEGE HOSPITAL NHS FOUNDATION TRUST</t>
  </si>
  <si>
    <t>260,000</t>
  </si>
  <si>
    <t>-1,169,320</t>
  </si>
  <si>
    <t>-879,470</t>
  </si>
  <si>
    <t>-811,001</t>
  </si>
  <si>
    <t>2,929,104</t>
  </si>
  <si>
    <t>1,662,168</t>
  </si>
  <si>
    <t>RK5</t>
  </si>
  <si>
    <t>SHERWOOD FOREST HOSPITALS NHS FOUNDATION TRUST</t>
  </si>
  <si>
    <t>-825,365</t>
  </si>
  <si>
    <t>558,400</t>
  </si>
  <si>
    <t>60,000</t>
  </si>
  <si>
    <t>RK9</t>
  </si>
  <si>
    <t>UNIVERSITY HOSPITALS PLYMOUTH NHS TRUST</t>
  </si>
  <si>
    <t>13,392</t>
  </si>
  <si>
    <t>190,531</t>
  </si>
  <si>
    <t>-638,041</t>
  </si>
  <si>
    <t>-1,238,441</t>
  </si>
  <si>
    <t>-1,254,756</t>
  </si>
  <si>
    <t>3,678,866</t>
  </si>
  <si>
    <t>149,191</t>
  </si>
  <si>
    <t>RKB</t>
  </si>
  <si>
    <t>UNIVERSITY HOSPITALS COVENTRY AND WARWICKSHIRE NHS TRUST</t>
  </si>
  <si>
    <t>21,487</t>
  </si>
  <si>
    <t>-34,141</t>
  </si>
  <si>
    <t>-5,925,973</t>
  </si>
  <si>
    <t>-3,236,480</t>
  </si>
  <si>
    <t>1,582,431</t>
  </si>
  <si>
    <t>RKE</t>
  </si>
  <si>
    <t>WHITTINGTON HEALTH NHS TRUST</t>
  </si>
  <si>
    <t>3,500</t>
  </si>
  <si>
    <t>185,000</t>
  </si>
  <si>
    <t>-41,200</t>
  </si>
  <si>
    <t>-53,700</t>
  </si>
  <si>
    <t>765,830</t>
  </si>
  <si>
    <t>78,200</t>
  </si>
  <si>
    <t>RKL</t>
  </si>
  <si>
    <t>WEST LONDON NHS TRUST</t>
  </si>
  <si>
    <t>-23,617</t>
  </si>
  <si>
    <t>64,366</t>
  </si>
  <si>
    <t>114,660</t>
  </si>
  <si>
    <t>RL1</t>
  </si>
  <si>
    <t>ROBERT JONES AND AGNES HUNT ORTHOPAEDIC HOSPITAL NHS FOUNDATION TRUST</t>
  </si>
  <si>
    <t>7,131</t>
  </si>
  <si>
    <t>-269,601</t>
  </si>
  <si>
    <t>223,030</t>
  </si>
  <si>
    <t>26,016</t>
  </si>
  <si>
    <t>RL4</t>
  </si>
  <si>
    <t>THE ROYAL WOLVERHAMPTON NHS TRUST</t>
  </si>
  <si>
    <t>24,462</t>
  </si>
  <si>
    <t>656,026</t>
  </si>
  <si>
    <t>-163,696</t>
  </si>
  <si>
    <t>-1,354,421</t>
  </si>
  <si>
    <t>949,917</t>
  </si>
  <si>
    <t>60,997</t>
  </si>
  <si>
    <t>RLQ</t>
  </si>
  <si>
    <t>WYE VALLEY NHS TRUST</t>
  </si>
  <si>
    <t>-8,024</t>
  </si>
  <si>
    <t>-520,002</t>
  </si>
  <si>
    <t>-345,065</t>
  </si>
  <si>
    <t>939,236</t>
  </si>
  <si>
    <t>237,992</t>
  </si>
  <si>
    <t>RLT</t>
  </si>
  <si>
    <t>GEORGE ELIOT HOSPITAL NHS TRUST</t>
  </si>
  <si>
    <t>14,865</t>
  </si>
  <si>
    <t>-68,561</t>
  </si>
  <si>
    <t>-596,928</t>
  </si>
  <si>
    <t>-242,197</t>
  </si>
  <si>
    <t>1,502,104</t>
  </si>
  <si>
    <t>RLY</t>
  </si>
  <si>
    <t>NORTH STAFFORDSHIRE COMBINED HEALTHCARE NHS TRUST</t>
  </si>
  <si>
    <t>77,210</t>
  </si>
  <si>
    <t>RM1</t>
  </si>
  <si>
    <t>NORFOLK AND NORWICH UNIVERSITY HOSPITALS NHS FOUNDATION TRUST</t>
  </si>
  <si>
    <t>193,279</t>
  </si>
  <si>
    <t>-254,784</t>
  </si>
  <si>
    <t>-1,639,776</t>
  </si>
  <si>
    <t>-1,285,459</t>
  </si>
  <si>
    <t>2,117,956</t>
  </si>
  <si>
    <t>RM3</t>
  </si>
  <si>
    <t>NORTHERN CARE ALLIANCE NHS FOUNDATION TRUST</t>
  </si>
  <si>
    <t>-309,260</t>
  </si>
  <si>
    <t>-1,742,689</t>
  </si>
  <si>
    <t>-945,908</t>
  </si>
  <si>
    <t>6,898,390</t>
  </si>
  <si>
    <t>2,498,492</t>
  </si>
  <si>
    <t>RMC</t>
  </si>
  <si>
    <t>BOLTON NHS FOUNDATION TRUST</t>
  </si>
  <si>
    <t>48,592</t>
  </si>
  <si>
    <t>-252,500</t>
  </si>
  <si>
    <t>-1,093,210</t>
  </si>
  <si>
    <t>-556,545</t>
  </si>
  <si>
    <t>2,295,624</t>
  </si>
  <si>
    <t>210,972</t>
  </si>
  <si>
    <t>RMP</t>
  </si>
  <si>
    <t>TAMESIDE AND GLOSSOP INTEGRATED CARE NHS FOUNDATION TRUST</t>
  </si>
  <si>
    <t>18,443</t>
  </si>
  <si>
    <t>-374,470</t>
  </si>
  <si>
    <t>-380,643</t>
  </si>
  <si>
    <t>863,821</t>
  </si>
  <si>
    <t>111,844</t>
  </si>
  <si>
    <t>RMY</t>
  </si>
  <si>
    <t>NORFOLK AND SUFFOLK NHS FOUNDATION TRUST</t>
  </si>
  <si>
    <t>50,000</t>
  </si>
  <si>
    <t>218,887</t>
  </si>
  <si>
    <t>RN3</t>
  </si>
  <si>
    <t>GREAT WESTERN HOSPITALS NHS FOUNDATION TRUST</t>
  </si>
  <si>
    <t>47,597</t>
  </si>
  <si>
    <t>-83,000</t>
  </si>
  <si>
    <t>-1,254,822</t>
  </si>
  <si>
    <t>662,000</t>
  </si>
  <si>
    <t>311,000</t>
  </si>
  <si>
    <t>RN5</t>
  </si>
  <si>
    <t>HAMPSHIRE HOSPITALS NHS FOUNDATION TRUST</t>
  </si>
  <si>
    <t>-497,106</t>
  </si>
  <si>
    <t>-1,804,637</t>
  </si>
  <si>
    <t>2,004,017</t>
  </si>
  <si>
    <t>816,063</t>
  </si>
  <si>
    <t>RN7</t>
  </si>
  <si>
    <t>DARTFORD AND GRAVESHAM NHS TRUST</t>
  </si>
  <si>
    <t>862,000</t>
  </si>
  <si>
    <t>1,558,051</t>
  </si>
  <si>
    <t>168,588</t>
  </si>
  <si>
    <t>RNA</t>
  </si>
  <si>
    <t>THE DUDLEY GROUP NHS FOUNDATION TRUST</t>
  </si>
  <si>
    <t>-103,783</t>
  </si>
  <si>
    <t>-814,894</t>
  </si>
  <si>
    <t>-47,532</t>
  </si>
  <si>
    <t>1,656,858</t>
  </si>
  <si>
    <t>RNK</t>
  </si>
  <si>
    <t>TAVISTOCK AND PORTMAN NHS FOUNDATION TRUST</t>
  </si>
  <si>
    <t>388,000</t>
  </si>
  <si>
    <t>21,000</t>
  </si>
  <si>
    <t>10,000</t>
  </si>
  <si>
    <t>RNN</t>
  </si>
  <si>
    <t>NORTH CUMBRIA INTEGRATED CARE NHS FOUNDATION TRUST</t>
  </si>
  <si>
    <t>-26,644</t>
  </si>
  <si>
    <t>-396,777</t>
  </si>
  <si>
    <t>-649,251</t>
  </si>
  <si>
    <t>2,108,094</t>
  </si>
  <si>
    <t>163,424</t>
  </si>
  <si>
    <t>RNQ</t>
  </si>
  <si>
    <t>KETTERING GENERAL HOSPITAL NHS FOUNDATION TRUST</t>
  </si>
  <si>
    <t>710,000</t>
  </si>
  <si>
    <t>-44,377</t>
  </si>
  <si>
    <t>-927,057</t>
  </si>
  <si>
    <t>935,270</t>
  </si>
  <si>
    <t>537</t>
  </si>
  <si>
    <t>RNS</t>
  </si>
  <si>
    <t>NORTHAMPTON GENERAL HOSPITAL NHS TRUST</t>
  </si>
  <si>
    <t>805</t>
  </si>
  <si>
    <t>-281,370</t>
  </si>
  <si>
    <t>-982,122</t>
  </si>
  <si>
    <t>1,242,347</t>
  </si>
  <si>
    <t>222,452</t>
  </si>
  <si>
    <t>RNU</t>
  </si>
  <si>
    <t>OXFORD HEALTH NHS FOUNDATION TRUST</t>
  </si>
  <si>
    <t>-12,651</t>
  </si>
  <si>
    <t>253,122</t>
  </si>
  <si>
    <t>59,750</t>
  </si>
  <si>
    <t>RNZ</t>
  </si>
  <si>
    <t>SALISBURY NHS FOUNDATION TRUST</t>
  </si>
  <si>
    <t>157,544</t>
  </si>
  <si>
    <t>10,000,000</t>
  </si>
  <si>
    <t>-134,520</t>
  </si>
  <si>
    <t>-931,202</t>
  </si>
  <si>
    <t>-724,826</t>
  </si>
  <si>
    <t>1,479,315</t>
  </si>
  <si>
    <t>61,603</t>
  </si>
  <si>
    <t>RP1</t>
  </si>
  <si>
    <t>NORTHAMPTONSHIRE HEALTHCARE NHS FOUNDATION TRUST</t>
  </si>
  <si>
    <t>1,048,824</t>
  </si>
  <si>
    <t>156,957</t>
  </si>
  <si>
    <t>RP4</t>
  </si>
  <si>
    <t>GREAT ORMOND STREET HOSPITAL FOR CHILDREN NHS FOUNDATION TRUST</t>
  </si>
  <si>
    <t>1,100,992</t>
  </si>
  <si>
    <t>RP5</t>
  </si>
  <si>
    <t>DONCASTER AND BASSETLAW TEACHING HOSPITALS NHS FOUNDATION TRUST</t>
  </si>
  <si>
    <t>61,653</t>
  </si>
  <si>
    <t>-64,131</t>
  </si>
  <si>
    <t>-811,210</t>
  </si>
  <si>
    <t>-337,115</t>
  </si>
  <si>
    <t>2,697,735</t>
  </si>
  <si>
    <t>57,883</t>
  </si>
  <si>
    <t>RP6</t>
  </si>
  <si>
    <t>MOORFIELDS EYE HOSPITAL NHS FOUNDATION TRUST</t>
  </si>
  <si>
    <t>22,789</t>
  </si>
  <si>
    <t>135,454</t>
  </si>
  <si>
    <t>894,518</t>
  </si>
  <si>
    <t>1,709,346</t>
  </si>
  <si>
    <t>RP7</t>
  </si>
  <si>
    <t>LINCOLNSHIRE PARTNERSHIP NHS FOUNDATION TRUST</t>
  </si>
  <si>
    <t>214,000</t>
  </si>
  <si>
    <t>59,075</t>
  </si>
  <si>
    <t>RPA</t>
  </si>
  <si>
    <t>MEDWAY NHS FOUNDATION TRUST</t>
  </si>
  <si>
    <t>173,000</t>
  </si>
  <si>
    <t>-1,474,509</t>
  </si>
  <si>
    <t>-306,595</t>
  </si>
  <si>
    <t>330,040</t>
  </si>
  <si>
    <t>1,559,782</t>
  </si>
  <si>
    <t>RPC</t>
  </si>
  <si>
    <t>QUEEN VICTORIA HOSPITAL NHS FOUNDATION TRUST</t>
  </si>
  <si>
    <t>-6,900</t>
  </si>
  <si>
    <t>-142,936</t>
  </si>
  <si>
    <t>-20,531</t>
  </si>
  <si>
    <t>573,227</t>
  </si>
  <si>
    <t>159,660</t>
  </si>
  <si>
    <t>RPG</t>
  </si>
  <si>
    <t>OXLEAS NHS FOUNDATION TRUST</t>
  </si>
  <si>
    <t>1,290,108</t>
  </si>
  <si>
    <t>-454,106</t>
  </si>
  <si>
    <t>-252,660</t>
  </si>
  <si>
    <t>22,495</t>
  </si>
  <si>
    <t>RPY</t>
  </si>
  <si>
    <t>THE ROYAL MARSDEN NHS FOUNDATION TRUST</t>
  </si>
  <si>
    <t>35,000</t>
  </si>
  <si>
    <t>498,975</t>
  </si>
  <si>
    <t>-45,849</t>
  </si>
  <si>
    <t>-370,860</t>
  </si>
  <si>
    <t>-146,045</t>
  </si>
  <si>
    <t>198,000</t>
  </si>
  <si>
    <t>105,000</t>
  </si>
  <si>
    <t>RQ3</t>
  </si>
  <si>
    <t>BIRMINGHAM WOMEN'S AND CHILDREN'S NHS FOUNDATION TRUST</t>
  </si>
  <si>
    <t>15,146</t>
  </si>
  <si>
    <t>900,000</t>
  </si>
  <si>
    <t>-26,339</t>
  </si>
  <si>
    <t>-43,198</t>
  </si>
  <si>
    <t>-256,952</t>
  </si>
  <si>
    <t>652,204</t>
  </si>
  <si>
    <t>RQM</t>
  </si>
  <si>
    <t>CHELSEA AND WESTMINSTER HOSPITAL NHS FOUNDATION TRUST</t>
  </si>
  <si>
    <t>3,772,143</t>
  </si>
  <si>
    <t>-352,916</t>
  </si>
  <si>
    <t>-2,825,910</t>
  </si>
  <si>
    <t>-412,527</t>
  </si>
  <si>
    <t>1,101,852</t>
  </si>
  <si>
    <t>582,305</t>
  </si>
  <si>
    <t>RQW</t>
  </si>
  <si>
    <t>THE PRINCESS ALEXANDRA HOSPITAL NHS TRUST</t>
  </si>
  <si>
    <t>159,193</t>
  </si>
  <si>
    <t>-132,814</t>
  </si>
  <si>
    <t>-777,812</t>
  </si>
  <si>
    <t>1,100,693</t>
  </si>
  <si>
    <t>58,477</t>
  </si>
  <si>
    <t>RQX</t>
  </si>
  <si>
    <t>HOMERTON HEALTHCARE NHS FOUNDATION TRUST</t>
  </si>
  <si>
    <t>-281,112</t>
  </si>
  <si>
    <t>-118,146</t>
  </si>
  <si>
    <t>401,099</t>
  </si>
  <si>
    <t>RQY</t>
  </si>
  <si>
    <t>SOUTH WEST LONDON AND ST GEORGE'S MENTAL HEALTH NHS TRUST</t>
  </si>
  <si>
    <t>-4,983</t>
  </si>
  <si>
    <t>-202,601</t>
  </si>
  <si>
    <t>RR7</t>
  </si>
  <si>
    <t>GATESHEAD HEALTH NHS FOUNDATION TRUST</t>
  </si>
  <si>
    <t>36,490</t>
  </si>
  <si>
    <t>-95,669</t>
  </si>
  <si>
    <t>-586,753</t>
  </si>
  <si>
    <t>-631,296</t>
  </si>
  <si>
    <t>735,086</t>
  </si>
  <si>
    <t>38,234</t>
  </si>
  <si>
    <t>RR8</t>
  </si>
  <si>
    <t>LEEDS TEACHING HOSPITALS NHS TRUST</t>
  </si>
  <si>
    <t>1,565,720</t>
  </si>
  <si>
    <t>-1,244,015</t>
  </si>
  <si>
    <t>-2,184,571</t>
  </si>
  <si>
    <t>-2,207,933</t>
  </si>
  <si>
    <t>2,124,395</t>
  </si>
  <si>
    <t>302,315</t>
  </si>
  <si>
    <t>RRE</t>
  </si>
  <si>
    <t>MIDLANDS PARTNERSHIP NHS FOUNDATION TRUST</t>
  </si>
  <si>
    <t>1,033,571</t>
  </si>
  <si>
    <t>94,077</t>
  </si>
  <si>
    <t>RRF</t>
  </si>
  <si>
    <t>WRIGHTINGTON, WIGAN AND LEIGH NHS FOUNDATION TRUST</t>
  </si>
  <si>
    <t>435,382</t>
  </si>
  <si>
    <t>-78,826</t>
  </si>
  <si>
    <t>-587,337</t>
  </si>
  <si>
    <t>-538,627</t>
  </si>
  <si>
    <t>717,784</t>
  </si>
  <si>
    <t>44,332</t>
  </si>
  <si>
    <t>RRJ</t>
  </si>
  <si>
    <t>ROYAL ORTHOPAEDIC HOSPITAL NHS FOUNDATION TRUST</t>
  </si>
  <si>
    <t>200</t>
  </si>
  <si>
    <t>192,305</t>
  </si>
  <si>
    <t>-20,000</t>
  </si>
  <si>
    <t>-204,973</t>
  </si>
  <si>
    <t>-70,666</t>
  </si>
  <si>
    <t>544,503</t>
  </si>
  <si>
    <t>16,126</t>
  </si>
  <si>
    <t>RRK</t>
  </si>
  <si>
    <t>UNIVERSITY HOSPITALS BIRMINGHAM NHS FOUNDATION TRUST</t>
  </si>
  <si>
    <t>189,191</t>
  </si>
  <si>
    <t>-75,346</t>
  </si>
  <si>
    <t>-2,937,986</t>
  </si>
  <si>
    <t>-3,082,083</t>
  </si>
  <si>
    <t>4,036,713</t>
  </si>
  <si>
    <t>44,737</t>
  </si>
  <si>
    <t>RRP</t>
  </si>
  <si>
    <t>BARNET, ENFIELD AND HARINGEY MENTAL HEALTH NHS TRUST</t>
  </si>
  <si>
    <t>119,450</t>
  </si>
  <si>
    <t>-51,767</t>
  </si>
  <si>
    <t>225,601</t>
  </si>
  <si>
    <t>185,912</t>
  </si>
  <si>
    <t>RRU</t>
  </si>
  <si>
    <t>LONDON AMBULANCE SERVICE NHS TRUST</t>
  </si>
  <si>
    <t>RRV</t>
  </si>
  <si>
    <t>UNIVERSITY COLLEGE LONDON HOSPITALS NHS FOUNDATION TRUST</t>
  </si>
  <si>
    <t>7,115</t>
  </si>
  <si>
    <t>2,713,872</t>
  </si>
  <si>
    <t>-25,846</t>
  </si>
  <si>
    <t>-814</t>
  </si>
  <si>
    <t>-66,380</t>
  </si>
  <si>
    <t>1,385,012</t>
  </si>
  <si>
    <t>604,585</t>
  </si>
  <si>
    <t>RT1</t>
  </si>
  <si>
    <t>CAMBRIDGESHIRE AND PETERBOROUGH NHS FOUNDATION TRUST</t>
  </si>
  <si>
    <t>110,720</t>
  </si>
  <si>
    <t>18,410</t>
  </si>
  <si>
    <t>109,722</t>
  </si>
  <si>
    <t>RT2</t>
  </si>
  <si>
    <t>PENNINE CARE NHS FOUNDATION TRUST</t>
  </si>
  <si>
    <t>58,450</t>
  </si>
  <si>
    <t>173,479</t>
  </si>
  <si>
    <t>170,400</t>
  </si>
  <si>
    <t>RT5</t>
  </si>
  <si>
    <t>LEICESTERSHIRE PARTNERSHIP NHS TRUST</t>
  </si>
  <si>
    <t>390,000</t>
  </si>
  <si>
    <t>RTD</t>
  </si>
  <si>
    <t>THE NEWCASTLE UPON TYNE HOSPITALS NHS FOUNDATION TRUST</t>
  </si>
  <si>
    <t>250,000</t>
  </si>
  <si>
    <t>-2,610,323</t>
  </si>
  <si>
    <t>-1,118,710</t>
  </si>
  <si>
    <t>819,375</t>
  </si>
  <si>
    <t>978,739</t>
  </si>
  <si>
    <t>RTE</t>
  </si>
  <si>
    <t>GLOUCESTERSHIRE HOSPITALS NHS FOUNDATION TRUST</t>
  </si>
  <si>
    <t>69,435</t>
  </si>
  <si>
    <t>-7,140</t>
  </si>
  <si>
    <t>-2,664,306</t>
  </si>
  <si>
    <t>-1,141,845</t>
  </si>
  <si>
    <t>1,088,833</t>
  </si>
  <si>
    <t>218,528</t>
  </si>
  <si>
    <t>RTF</t>
  </si>
  <si>
    <t>NORTHUMBRIA HEALTHCARE NHS FOUNDATION TRUST</t>
  </si>
  <si>
    <t>-150,597</t>
  </si>
  <si>
    <t>-1,216,163</t>
  </si>
  <si>
    <t>-808,789</t>
  </si>
  <si>
    <t>480,130</t>
  </si>
  <si>
    <t>22,717</t>
  </si>
  <si>
    <t>RTG</t>
  </si>
  <si>
    <t>UNIVERSITY HOSPITALS OF DERBY AND BURTON NHS FOUNDATION TRUST</t>
  </si>
  <si>
    <t>55,958</t>
  </si>
  <si>
    <t>-80,000</t>
  </si>
  <si>
    <t>-3,400,624</t>
  </si>
  <si>
    <t>558,321</t>
  </si>
  <si>
    <t>4,515,960</t>
  </si>
  <si>
    <t>RTH</t>
  </si>
  <si>
    <t>OXFORD UNIVERSITY HOSPITALS NHS FOUNDATION TRUST</t>
  </si>
  <si>
    <t>-68,886</t>
  </si>
  <si>
    <t>-2,896,699</t>
  </si>
  <si>
    <t>944,008</t>
  </si>
  <si>
    <t>622,600</t>
  </si>
  <si>
    <t>RTK</t>
  </si>
  <si>
    <t>ASHFORD AND ST. PETER'S HOSPITALS NHS FOUNDATION TRUST</t>
  </si>
  <si>
    <t>-591,903</t>
  </si>
  <si>
    <t>-1,756,712</t>
  </si>
  <si>
    <t>-506,346</t>
  </si>
  <si>
    <t>690,551</t>
  </si>
  <si>
    <t>74,413</t>
  </si>
  <si>
    <t>RTP</t>
  </si>
  <si>
    <t>SURREY AND SUSSEX HEALTHCARE NHS TRUST</t>
  </si>
  <si>
    <t>10,500</t>
  </si>
  <si>
    <t>-35,000</t>
  </si>
  <si>
    <t>-2,256,882</t>
  </si>
  <si>
    <t>-169,766</t>
  </si>
  <si>
    <t>1,584,317</t>
  </si>
  <si>
    <t>401,512</t>
  </si>
  <si>
    <t>RTQ</t>
  </si>
  <si>
    <t>GLOUCESTERSHIRE HEALTH AND CARE NHS FOUNDATION TRUST</t>
  </si>
  <si>
    <t>4,735</t>
  </si>
  <si>
    <t>79,129</t>
  </si>
  <si>
    <t>547,365</t>
  </si>
  <si>
    <t>64,799</t>
  </si>
  <si>
    <t>RTR</t>
  </si>
  <si>
    <t>SOUTH TEES HOSPITALS NHS FOUNDATION TRUST</t>
  </si>
  <si>
    <t>383,719</t>
  </si>
  <si>
    <t>-1,015,842</t>
  </si>
  <si>
    <t>-1,280,053</t>
  </si>
  <si>
    <t>830,621</t>
  </si>
  <si>
    <t>1,760,522</t>
  </si>
  <si>
    <t>RTX</t>
  </si>
  <si>
    <t>UNIVERSITY HOSPITALS OF MORECAMBE BAY NHS FOUNDATION TRUST</t>
  </si>
  <si>
    <t>11,310</t>
  </si>
  <si>
    <t>-1,043,182</t>
  </si>
  <si>
    <t>-356,517</t>
  </si>
  <si>
    <t>668,441</t>
  </si>
  <si>
    <t>RV3</t>
  </si>
  <si>
    <t>CENTRAL AND NORTH WEST LONDON NHS FOUNDATION TRUST</t>
  </si>
  <si>
    <t>143,706</t>
  </si>
  <si>
    <t>RV5</t>
  </si>
  <si>
    <t>SOUTH LONDON AND MAUDSLEY NHS FOUNDATION TRUST</t>
  </si>
  <si>
    <t>-10,538</t>
  </si>
  <si>
    <t>RV9</t>
  </si>
  <si>
    <t>HUMBER TEACHING NHS FOUNDATION TRUST</t>
  </si>
  <si>
    <t>47,650</t>
  </si>
  <si>
    <t>854,000</t>
  </si>
  <si>
    <t>125,029</t>
  </si>
  <si>
    <t>110,658</t>
  </si>
  <si>
    <t>RVJ</t>
  </si>
  <si>
    <t>NORTH BRISTOL NHS TRUST</t>
  </si>
  <si>
    <t>52,695</t>
  </si>
  <si>
    <t>132,871</t>
  </si>
  <si>
    <t>-2,058,793</t>
  </si>
  <si>
    <t>-52,976</t>
  </si>
  <si>
    <t>550,983</t>
  </si>
  <si>
    <t>714,936</t>
  </si>
  <si>
    <t>RVN</t>
  </si>
  <si>
    <t>AVON AND WILTSHIRE MENTAL HEALTH PARTNERSHIP NHS TRUST</t>
  </si>
  <si>
    <t>229,350</t>
  </si>
  <si>
    <t>RVR</t>
  </si>
  <si>
    <t>EPSOM AND ST HELIER UNIVERSITY HOSPITALS NHS TRUST</t>
  </si>
  <si>
    <t>-163,802</t>
  </si>
  <si>
    <t>-2,115,419</t>
  </si>
  <si>
    <t>-636,829</t>
  </si>
  <si>
    <t>1,777,615</t>
  </si>
  <si>
    <t>268,484</t>
  </si>
  <si>
    <t>RVV</t>
  </si>
  <si>
    <t>EAST KENT HOSPITALS UNIVERSITY NHS FOUNDATION TRUST</t>
  </si>
  <si>
    <t>-797,063</t>
  </si>
  <si>
    <t>-1,962,140</t>
  </si>
  <si>
    <t>-1,971,033</t>
  </si>
  <si>
    <t>3,100,042</t>
  </si>
  <si>
    <t>757,170</t>
  </si>
  <si>
    <t>RVW</t>
  </si>
  <si>
    <t>NORTH TEES AND HARTLEPOOL NHS FOUNDATION TRUST</t>
  </si>
  <si>
    <t>951,015</t>
  </si>
  <si>
    <t>67,281</t>
  </si>
  <si>
    <t>-1,008,237</t>
  </si>
  <si>
    <t>-851,973</t>
  </si>
  <si>
    <t>379,563</t>
  </si>
  <si>
    <t>149,507</t>
  </si>
  <si>
    <t>RW1</t>
  </si>
  <si>
    <t>SOUTHERN HEALTH NHS FOUNDATION TRUST</t>
  </si>
  <si>
    <t>72,815</t>
  </si>
  <si>
    <t>-53,876</t>
  </si>
  <si>
    <t>197,531</t>
  </si>
  <si>
    <t>RW4</t>
  </si>
  <si>
    <t>MERSEY CARE NHS FOUNDATION TRUST</t>
  </si>
  <si>
    <t>122,705</t>
  </si>
  <si>
    <t>197,208</t>
  </si>
  <si>
    <t>RW5</t>
  </si>
  <si>
    <t>LANCASHIRE &amp; SOUTH CUMBRIA NHS FOUNDATION TRUST</t>
  </si>
  <si>
    <t>8,059</t>
  </si>
  <si>
    <t>698,562</t>
  </si>
  <si>
    <t>RWA</t>
  </si>
  <si>
    <t>HULL UNIVERSITY TEACHING HOSPITALS NHS TRUST</t>
  </si>
  <si>
    <t>446,454</t>
  </si>
  <si>
    <t>-238,323</t>
  </si>
  <si>
    <t>-1,519,749</t>
  </si>
  <si>
    <t>-516,223</t>
  </si>
  <si>
    <t>1,751,670</t>
  </si>
  <si>
    <t>141,463</t>
  </si>
  <si>
    <t>RWD</t>
  </si>
  <si>
    <t>UNITED LINCOLNSHIRE HOSPITALS NHS TRUST</t>
  </si>
  <si>
    <t>-1,209,283</t>
  </si>
  <si>
    <t>2,941,683</t>
  </si>
  <si>
    <t>539,012</t>
  </si>
  <si>
    <t>RWE</t>
  </si>
  <si>
    <t>UNIVERSITY HOSPITALS OF LEICESTER NHS TRUST</t>
  </si>
  <si>
    <t>-388,667</t>
  </si>
  <si>
    <t>-3,945,040</t>
  </si>
  <si>
    <t>-1,882,847</t>
  </si>
  <si>
    <t>2,455,960</t>
  </si>
  <si>
    <t>943,096</t>
  </si>
  <si>
    <t>RWF</t>
  </si>
  <si>
    <t>MAIDSTONE AND TUNBRIDGE WELLS NHS TRUST</t>
  </si>
  <si>
    <t>485,891</t>
  </si>
  <si>
    <t>-113,120</t>
  </si>
  <si>
    <t>-1,672,356</t>
  </si>
  <si>
    <t>-471,801</t>
  </si>
  <si>
    <t>1,691,851</t>
  </si>
  <si>
    <t>1,761,785</t>
  </si>
  <si>
    <t>RWG</t>
  </si>
  <si>
    <t>WEST HERTFORDSHIRE TEACHING HOSPITALS NHS TRUST</t>
  </si>
  <si>
    <t>1,034,473</t>
  </si>
  <si>
    <t>-6,835</t>
  </si>
  <si>
    <t>-1,864,011</t>
  </si>
  <si>
    <t>-939,461</t>
  </si>
  <si>
    <t>497,663</t>
  </si>
  <si>
    <t>625,714</t>
  </si>
  <si>
    <t>RWH</t>
  </si>
  <si>
    <t>EAST AND NORTH HERTFORDSHIRE NHS TRUST</t>
  </si>
  <si>
    <t>2,080,000</t>
  </si>
  <si>
    <t>-200,476</t>
  </si>
  <si>
    <t>-432,669</t>
  </si>
  <si>
    <t>-839,684</t>
  </si>
  <si>
    <t>3,380,886</t>
  </si>
  <si>
    <t>259,420</t>
  </si>
  <si>
    <t>RWJ</t>
  </si>
  <si>
    <t>STOCKPORT NHS FOUNDATION TRUST</t>
  </si>
  <si>
    <t>5,317,113</t>
  </si>
  <si>
    <t>-868,924</t>
  </si>
  <si>
    <t>-594,934</t>
  </si>
  <si>
    <t>2,247,609</t>
  </si>
  <si>
    <t>18,311</t>
  </si>
  <si>
    <t>RWK</t>
  </si>
  <si>
    <t>EAST LONDON NHS FOUNDATION TRUST</t>
  </si>
  <si>
    <t>342,589</t>
  </si>
  <si>
    <t>98,676</t>
  </si>
  <si>
    <t>RWP</t>
  </si>
  <si>
    <t>WORCESTERSHIRE ACUTE HOSPITALS NHS TRUST</t>
  </si>
  <si>
    <t>-763,523</t>
  </si>
  <si>
    <t>-1,933,765</t>
  </si>
  <si>
    <t>744,478</t>
  </si>
  <si>
    <t>102,091</t>
  </si>
  <si>
    <t>RWR</t>
  </si>
  <si>
    <t>HERTFORDSHIRE PARTNERSHIP UNIVERSITY NHS FOUNDATION TRUST</t>
  </si>
  <si>
    <t>67,330</t>
  </si>
  <si>
    <t>RWV</t>
  </si>
  <si>
    <t>DEVON PARTNERSHIP NHS TRUST</t>
  </si>
  <si>
    <t>289,086</t>
  </si>
  <si>
    <t>-25,315</t>
  </si>
  <si>
    <t>74,393</t>
  </si>
  <si>
    <t>RWW</t>
  </si>
  <si>
    <t>WARRINGTON AND HALTON TEACHING HOSPITALS NHS FOUNDATION TRUST</t>
  </si>
  <si>
    <t>121,000</t>
  </si>
  <si>
    <t>-1,247,069</t>
  </si>
  <si>
    <t>-595,009</t>
  </si>
  <si>
    <t>483,209</t>
  </si>
  <si>
    <t>326,837</t>
  </si>
  <si>
    <t>RWX</t>
  </si>
  <si>
    <t>BERKSHIRE HEALTHCARE NHS FOUNDATION TRUST</t>
  </si>
  <si>
    <t>536,385</t>
  </si>
  <si>
    <t>-139,695</t>
  </si>
  <si>
    <t>67,690</t>
  </si>
  <si>
    <t>63,296</t>
  </si>
  <si>
    <t>RWY</t>
  </si>
  <si>
    <t>CALDERDALE AND HUDDERSFIELD NHS FOUNDATION TRUST</t>
  </si>
  <si>
    <t>13,520</t>
  </si>
  <si>
    <t>89,375</t>
  </si>
  <si>
    <t>-5,242</t>
  </si>
  <si>
    <t>-1,052,991</t>
  </si>
  <si>
    <t>-668,403</t>
  </si>
  <si>
    <t>394,539</t>
  </si>
  <si>
    <t>14,645</t>
  </si>
  <si>
    <t>RX1</t>
  </si>
  <si>
    <t>NOTTINGHAM UNIVERSITY HOSPITALS NHS TRUST</t>
  </si>
  <si>
    <t>12,249,901</t>
  </si>
  <si>
    <t>319,219</t>
  </si>
  <si>
    <t>-2,316,819</t>
  </si>
  <si>
    <t>-546,647</t>
  </si>
  <si>
    <t>488,132</t>
  </si>
  <si>
    <t>RX2</t>
  </si>
  <si>
    <t>SUSSEX PARTNERSHIP NHS FOUNDATION TRUST</t>
  </si>
  <si>
    <t>-500</t>
  </si>
  <si>
    <t>227,961</t>
  </si>
  <si>
    <t>RX3</t>
  </si>
  <si>
    <t>TEES, ESK AND WEAR VALLEYS NHS FOUNDATION TRUST</t>
  </si>
  <si>
    <t>178,624</t>
  </si>
  <si>
    <t>180,931</t>
  </si>
  <si>
    <t>233,487</t>
  </si>
  <si>
    <t>RX4</t>
  </si>
  <si>
    <t>CUMBRIA, NORTHUMBERLAND, TYNE AND WEAR NHS FOUNDATION TRUST</t>
  </si>
  <si>
    <t>53,549</t>
  </si>
  <si>
    <t>572,530</t>
  </si>
  <si>
    <t>-126,492</t>
  </si>
  <si>
    <t>67,024</t>
  </si>
  <si>
    <t>118,939</t>
  </si>
  <si>
    <t>RX6</t>
  </si>
  <si>
    <t>NORTH EAST AMBULANCE SERVICE NHS FOUNDATION TRUST</t>
  </si>
  <si>
    <t>81,065</t>
  </si>
  <si>
    <t>RX7</t>
  </si>
  <si>
    <t>NORTH WEST AMBULANCE SERVICE NHS TRUST</t>
  </si>
  <si>
    <t>RX8</t>
  </si>
  <si>
    <t>YORKSHIRE AMBULANCE SERVICE NHS TRUST</t>
  </si>
  <si>
    <t>500,000</t>
  </si>
  <si>
    <t>RX9</t>
  </si>
  <si>
    <t>EAST MIDLANDS AMBULANCE SERVICE NHS TRUST</t>
  </si>
  <si>
    <t>426,686</t>
  </si>
  <si>
    <t>RXA</t>
  </si>
  <si>
    <t>CHESHIRE AND WIRRAL PARTNERSHIP NHS FOUNDATION TRUST</t>
  </si>
  <si>
    <t>56,085</t>
  </si>
  <si>
    <t>133,968</t>
  </si>
  <si>
    <t>RXC</t>
  </si>
  <si>
    <t>EAST SUSSEX HEALTHCARE NHS TRUST</t>
  </si>
  <si>
    <t>37,336</t>
  </si>
  <si>
    <t>-333,363</t>
  </si>
  <si>
    <t>-876,897</t>
  </si>
  <si>
    <t>-122,633</t>
  </si>
  <si>
    <t>1,272,265</t>
  </si>
  <si>
    <t>951,526</t>
  </si>
  <si>
    <t>RXE</t>
  </si>
  <si>
    <t>ROTHERHAM DONCASTER AND SOUTH HUMBER NHS FOUNDATION TRUST</t>
  </si>
  <si>
    <t>111,271</t>
  </si>
  <si>
    <t>-191,517</t>
  </si>
  <si>
    <t>59,261</t>
  </si>
  <si>
    <t>RXF</t>
  </si>
  <si>
    <t>MID YORKSHIRE TEACHING NHS TRUST</t>
  </si>
  <si>
    <t>68,981</t>
  </si>
  <si>
    <t>-8,748</t>
  </si>
  <si>
    <t>-2,156,291</t>
  </si>
  <si>
    <t>-1,347,465</t>
  </si>
  <si>
    <t>143,527</t>
  </si>
  <si>
    <t>79,414</t>
  </si>
  <si>
    <t>RXG</t>
  </si>
  <si>
    <t>SOUTH WEST YORKSHIRE PARTNERSHIP NHS FOUNDATION TRUST</t>
  </si>
  <si>
    <t>90,770</t>
  </si>
  <si>
    <t>88,315</t>
  </si>
  <si>
    <t>RXK</t>
  </si>
  <si>
    <t>SANDWELL AND WEST BIRMINGHAM HOSPITALS NHS TRUST</t>
  </si>
  <si>
    <t>105,156</t>
  </si>
  <si>
    <t>-493</t>
  </si>
  <si>
    <t>-34</t>
  </si>
  <si>
    <t>289,404</t>
  </si>
  <si>
    <t>474,050</t>
  </si>
  <si>
    <t>RXL</t>
  </si>
  <si>
    <t>BLACKPOOL TEACHING HOSPITALS NHS FOUNDATION TRUST</t>
  </si>
  <si>
    <t>143,000</t>
  </si>
  <si>
    <t>-492,453</t>
  </si>
  <si>
    <t>-1,221,025</t>
  </si>
  <si>
    <t>-596,522</t>
  </si>
  <si>
    <t>3,398,689</t>
  </si>
  <si>
    <t>42,271</t>
  </si>
  <si>
    <t>RXM</t>
  </si>
  <si>
    <t>DERBYSHIRE HEALTHCARE NHS FOUNDATION TRUST</t>
  </si>
  <si>
    <t>83,343</t>
  </si>
  <si>
    <t>RXN</t>
  </si>
  <si>
    <t>LANCASHIRE TEACHING HOSPITALS NHS FOUNDATION TRUST</t>
  </si>
  <si>
    <t>36,913</t>
  </si>
  <si>
    <t>984,878</t>
  </si>
  <si>
    <t>-94,599</t>
  </si>
  <si>
    <t>-2,228,987</t>
  </si>
  <si>
    <t>-747,645</t>
  </si>
  <si>
    <t>2,297,300</t>
  </si>
  <si>
    <t>22,806</t>
  </si>
  <si>
    <t>RXP</t>
  </si>
  <si>
    <t>COUNTY DURHAM AND DARLINGTON NHS FOUNDATION TRUST</t>
  </si>
  <si>
    <t>17,570</t>
  </si>
  <si>
    <t>-183,552</t>
  </si>
  <si>
    <t>-305,552</t>
  </si>
  <si>
    <t>-94,711</t>
  </si>
  <si>
    <t>489,843</t>
  </si>
  <si>
    <t>RXQ</t>
  </si>
  <si>
    <t>BUCKINGHAMSHIRE HEALTHCARE NHS TRUST</t>
  </si>
  <si>
    <t>5,231,675</t>
  </si>
  <si>
    <t>244,216</t>
  </si>
  <si>
    <t>RXR</t>
  </si>
  <si>
    <t>EAST LANCASHIRE HOSPITALS NHS TRUST</t>
  </si>
  <si>
    <t>107,099</t>
  </si>
  <si>
    <t>-835,142</t>
  </si>
  <si>
    <t>2,160,422</t>
  </si>
  <si>
    <t>543,780</t>
  </si>
  <si>
    <t>RXT</t>
  </si>
  <si>
    <t>BIRMINGHAM AND SOLIHULL MENTAL HEALTH NHS FOUNDATION TRUST</t>
  </si>
  <si>
    <t>150,000</t>
  </si>
  <si>
    <t>631,430</t>
  </si>
  <si>
    <t>181,956</t>
  </si>
  <si>
    <t>RXV</t>
  </si>
  <si>
    <t>GREATER MANCHESTER MENTAL HEALTH NHS FOUNDATION TRUST</t>
  </si>
  <si>
    <t>50,548</t>
  </si>
  <si>
    <t>-100,565</t>
  </si>
  <si>
    <t>-224,430</t>
  </si>
  <si>
    <t>160,649</t>
  </si>
  <si>
    <t>RXW</t>
  </si>
  <si>
    <t>SHREWSBURY AND TELFORD HOSPITAL NHS TRUST</t>
  </si>
  <si>
    <t>52,740</t>
  </si>
  <si>
    <t>429,966</t>
  </si>
  <si>
    <t>-1,094,773</t>
  </si>
  <si>
    <t>896,441</t>
  </si>
  <si>
    <t>243,533</t>
  </si>
  <si>
    <t>RXX</t>
  </si>
  <si>
    <t>SURREY AND BORDERS PARTNERSHIP NHS FOUNDATION TRUST</t>
  </si>
  <si>
    <t>RXY</t>
  </si>
  <si>
    <t>KENT AND MEDWAY NHS AND SOCIAL CARE PARTNERSHIP TRUST</t>
  </si>
  <si>
    <t>13,145</t>
  </si>
  <si>
    <t>129,846</t>
  </si>
  <si>
    <t>137,071</t>
  </si>
  <si>
    <t>RY2</t>
  </si>
  <si>
    <t>BRIDGEWATER COMMUNITY HEALTHCARE NHS FOUNDATION TRUST</t>
  </si>
  <si>
    <t>63,360</t>
  </si>
  <si>
    <t>RY3</t>
  </si>
  <si>
    <t>NORFOLK COMMUNITY HEALTH AND CARE NHS TRUST</t>
  </si>
  <si>
    <t>22,953</t>
  </si>
  <si>
    <t>346,000</t>
  </si>
  <si>
    <t>-2,305</t>
  </si>
  <si>
    <t>-155,229</t>
  </si>
  <si>
    <t>497</t>
  </si>
  <si>
    <t>13,698</t>
  </si>
  <si>
    <t>RY4</t>
  </si>
  <si>
    <t>HERTFORDSHIRE COMMUNITY NHS TRUST</t>
  </si>
  <si>
    <t>186,841</t>
  </si>
  <si>
    <t>41,000</t>
  </si>
  <si>
    <t>RY5</t>
  </si>
  <si>
    <t>LINCOLNSHIRE COMMUNITY HEALTH SERVICES NHS TRUST</t>
  </si>
  <si>
    <t>13,163</t>
  </si>
  <si>
    <t>RY6</t>
  </si>
  <si>
    <t>LEEDS COMMUNITY HEALTHCARE NHS TRUST</t>
  </si>
  <si>
    <t>26,752</t>
  </si>
  <si>
    <t>101,542</t>
  </si>
  <si>
    <t>RY7</t>
  </si>
  <si>
    <t>WIRRAL COMMUNITY HEALTH AND CARE NHS FOUNDATION TRUST</t>
  </si>
  <si>
    <t>-17,250</t>
  </si>
  <si>
    <t>46,755</t>
  </si>
  <si>
    <t>RY8</t>
  </si>
  <si>
    <t>DERBYSHIRE COMMUNITY HEALTH SERVICES NHS FOUNDATION TRUST</t>
  </si>
  <si>
    <t>23,836</t>
  </si>
  <si>
    <t>-49,902</t>
  </si>
  <si>
    <t>750,428</t>
  </si>
  <si>
    <t>94,668</t>
  </si>
  <si>
    <t>RY9</t>
  </si>
  <si>
    <t>HOUNSLOW AND RICHMOND COMMUNITY HEALTHCARE NHS TRUST</t>
  </si>
  <si>
    <t>47,496</t>
  </si>
  <si>
    <t>21,370</t>
  </si>
  <si>
    <t>RYA</t>
  </si>
  <si>
    <t>WEST MIDLANDS AMBULANCE SERVICE UNIVERSITY NHS FOUNDATION TRUST</t>
  </si>
  <si>
    <t>RYC</t>
  </si>
  <si>
    <t>EAST OF ENGLAND AMBULANCE SERVICE NHS TRUST</t>
  </si>
  <si>
    <t>1,182,000</t>
  </si>
  <si>
    <t>RYD</t>
  </si>
  <si>
    <t>SOUTH EAST COAST AMBULANCE SERVICE NHS FOUNDATION TRUST</t>
  </si>
  <si>
    <t>RYE</t>
  </si>
  <si>
    <t>SOUTH CENTRAL AMBULANCE SERVICE NHS FOUNDATION TRUST</t>
  </si>
  <si>
    <t>340</t>
  </si>
  <si>
    <t>RYF</t>
  </si>
  <si>
    <t>SOUTH WESTERN AMBULANCE SERVICE NHS FOUNDATION TRUST</t>
  </si>
  <si>
    <t>4,503</t>
  </si>
  <si>
    <t>10,581</t>
  </si>
  <si>
    <t>RYG</t>
  </si>
  <si>
    <t>COVENTRY AND WARWICKSHIRE PARTNERSHIP NHS TRUST</t>
  </si>
  <si>
    <t>156,500</t>
  </si>
  <si>
    <t>RYJ</t>
  </si>
  <si>
    <t>IMPERIAL COLLEGE HEALTHCARE NHS TRUST</t>
  </si>
  <si>
    <t>1,787,761</t>
  </si>
  <si>
    <t>-718,225</t>
  </si>
  <si>
    <t>-716,064</t>
  </si>
  <si>
    <t>-808,445</t>
  </si>
  <si>
    <t>925,434</t>
  </si>
  <si>
    <t>745,205</t>
  </si>
  <si>
    <t>RYR</t>
  </si>
  <si>
    <t>UNIVERSITY HOSPITALS SUSSEX NHS FOUNDATION TRUST</t>
  </si>
  <si>
    <t>-892,473</t>
  </si>
  <si>
    <t>-1,383,685</t>
  </si>
  <si>
    <t>-2,554,756</t>
  </si>
  <si>
    <t>2,280,255</t>
  </si>
  <si>
    <t>3,200,340</t>
  </si>
  <si>
    <t>RYV</t>
  </si>
  <si>
    <t>CAMBRIDGESHIRE COMMUNITY SERVICES NHS TRUST</t>
  </si>
  <si>
    <t>16,019</t>
  </si>
  <si>
    <t>140,990</t>
  </si>
  <si>
    <t>RYW</t>
  </si>
  <si>
    <t>BIRMINGHAM COMMUNITY HEALTHCARE NHS FOUNDATION TRUST</t>
  </si>
  <si>
    <t>-141,939</t>
  </si>
  <si>
    <t>-41,984</t>
  </si>
  <si>
    <t>RYX</t>
  </si>
  <si>
    <t>CENTRAL LONDON COMMUNITY HEALTHCARE NHS TRUST</t>
  </si>
  <si>
    <t>466,083</t>
  </si>
  <si>
    <t>259,800</t>
  </si>
  <si>
    <t>21,457</t>
  </si>
  <si>
    <t>RYY</t>
  </si>
  <si>
    <t>KENT COMMUNITY HEALTH NHS FOUNDATION TRUST</t>
  </si>
  <si>
    <t>137,841</t>
  </si>
  <si>
    <t>85,212</t>
  </si>
  <si>
    <t>TAD</t>
  </si>
  <si>
    <t>BRADFORD DISTRICT CARE NHS FOUNDATION TRUST</t>
  </si>
  <si>
    <t>117,000</t>
  </si>
  <si>
    <t>81,427</t>
  </si>
  <si>
    <t>74,209</t>
  </si>
  <si>
    <t>TAF</t>
  </si>
  <si>
    <t>CAMDEN AND ISLINGTON NHS FOUNDATION TRUST</t>
  </si>
  <si>
    <t>35,632</t>
  </si>
  <si>
    <t>59,413</t>
  </si>
  <si>
    <t>TAH</t>
  </si>
  <si>
    <t>SHEFFIELD HEALTH AND SOCIAL CARE NHS FOUNDATION TRUST</t>
  </si>
  <si>
    <t>5,934</t>
  </si>
  <si>
    <t>TAJ</t>
  </si>
  <si>
    <t>BLACK COUNTRY HEALTHCARE NHS FOUNDATION TRUST</t>
  </si>
  <si>
    <t>1,724</t>
  </si>
  <si>
    <t>330,800</t>
  </si>
  <si>
    <t>128,901</t>
  </si>
  <si>
    <t>Income from car parking - patients and visitors (£) (Cleaned)</t>
  </si>
  <si>
    <t>Waste re-use scheme - Cost savings (£) ( Cleaned)</t>
  </si>
  <si>
    <t>Contribution to costs from areas leased out for retail sales (£) ( Clean )</t>
  </si>
  <si>
    <t>Energy efficient schemes costs (£) ( Cleaned )</t>
  </si>
  <si>
    <t>Income from car parking - staff (£) ( Cleaned )</t>
  </si>
  <si>
    <t>Medical Records cost - Offsite (£) ( Cleaned )</t>
  </si>
  <si>
    <t>Medical Records cost - Onsite (£) ( Cleaned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</si>
</sst>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6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67EF5E-FB1A-4DC4-81C5-669EED787C40}" autoFormatId="16" applyNumberFormats="0" applyBorderFormats="0" applyFontFormats="0" applyPatternFormats="0" applyAlignmentFormats="0" applyWidthHeightFormats="0">
  <queryTableRefresh nextId="40" unboundColumnsRight="1">
    <queryTableFields count="31">
      <queryTableField id="1" name="Trust Code" tableColumnId="1"/>
      <queryTableField id="2" name="Trust Name" tableColumnId="2"/>
      <queryTableField id="3" name="Commissioning Region" tableColumnId="3"/>
      <queryTableField id="4" name="Total number of sites (No.)" tableColumnId="4"/>
      <queryTableField id="6" name="Waste re-use scheme - Cost savings (£)" tableColumnId="6"/>
      <queryTableField id="33" dataBound="0" tableColumnId="28"/>
      <queryTableField id="8" name="WEEE waste cost (£)" tableColumnId="8"/>
      <queryTableField id="9" name="Capital investment for new build (£)" tableColumnId="9"/>
      <queryTableField id="10" name="Capital investment for changing/improving existing buildings (£)" tableColumnId="10"/>
      <queryTableField id="11" name="Capital investment for maintaining (lifecycle) existing buildings (£)" tableColumnId="11"/>
      <queryTableField id="12" name="Capital investment for equipment (£)" tableColumnId="12"/>
      <queryTableField id="13" name="Private sector funding investment (£)" tableColumnId="13"/>
      <queryTableField id="14" name="Public sector funding investment (£)" tableColumnId="14"/>
      <queryTableField id="15" name="Charity and/or grant investment (£)" tableColumnId="15"/>
      <queryTableField id="16" name="Number of energy efficient schemes (No)" tableColumnId="16"/>
      <queryTableField id="17" name="Energy efficient schemes costs (£)" tableColumnId="17"/>
      <queryTableField id="35" dataBound="0" tableColumnId="30"/>
      <queryTableField id="19" name="Contribution to costs from areas leased out for retail sales (£)" tableColumnId="19"/>
      <queryTableField id="34" dataBound="0" tableColumnId="29"/>
      <queryTableField id="20" name="Contribution to costs from non NHS organisations (£)" tableColumnId="20"/>
      <queryTableField id="21" name="Contribution to costs from NHS organisations (£)" tableColumnId="21"/>
      <queryTableField id="22" name="Contribution to costs from local authorities (£)" tableColumnId="22"/>
      <queryTableField id="23" name="Income from car parking - patients and visitors (£)" tableColumnId="23"/>
      <queryTableField id="32" dataBound="0" tableColumnId="7"/>
      <queryTableField id="24" name="Income from car parking - staff (£)" tableColumnId="24"/>
      <queryTableField id="36" dataBound="0" tableColumnId="31"/>
      <queryTableField id="25" name="Total contributions (£)" tableColumnId="25"/>
      <queryTableField id="26" name="Medical Records cost - Onsite (£)" tableColumnId="26"/>
      <queryTableField id="37" dataBound="0" tableColumnId="32"/>
      <queryTableField id="27" name="Medical Records cost - Offsite (£)" tableColumnId="27"/>
      <queryTableField id="38" dataBound="0" tableColumnId="34"/>
    </queryTableFields>
    <queryTableDeletedFields count="5">
      <deletedField name="Waste re-use scheme - Carbon savings (CO2e (tonnes))"/>
      <deletedField name="Estates Development Strategy (Yes/No)"/>
      <deletedField name="Estates Development Strategy (Yes/No)"/>
      <deletedField name="Waste re-use scheme - Carbon savings (CO2e (tonnes))"/>
      <deletedField name="Carbon savings from investment in energy efficient schemes (CO2e (tonnes)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CBC75-9715-47C4-A522-E05C7561A681}" name="ERIC___2023_24___Trust_data" displayName="ERIC___2023_24___Trust_data" ref="A1:AE210" tableType="queryTable" headerRowDxfId="64" dataDxfId="63" totalsRowDxfId="62">
  <autoFilter ref="A1:AE210" xr:uid="{CF5CBC75-9715-47C4-A522-E05C7561A681}"/>
  <sortState xmlns:xlrd2="http://schemas.microsoft.com/office/spreadsheetml/2017/richdata2" ref="A2:AD210">
    <sortCondition ref="C1:C210"/>
  </sortState>
  <tableColumns count="31">
    <tableColumn id="1" xr3:uid="{35CB0484-3243-4CF6-B59B-FA78F9789F1A}" uniqueName="1" name="Trust Code" totalsRowLabel="Total" queryTableFieldId="1" dataDxfId="61" totalsRowDxfId="0"/>
    <tableColumn id="2" xr3:uid="{495FDEFC-78E9-41C8-9F5A-2F0D3F404CDB}" uniqueName="2" name="Trust Name" queryTableFieldId="2" dataDxfId="60" totalsRowDxfId="1"/>
    <tableColumn id="3" xr3:uid="{CA005694-88B8-42C8-88CD-60DF114EE982}" uniqueName="3" name="Commissioning Region" queryTableFieldId="3" dataDxfId="59" totalsRowDxfId="2"/>
    <tableColumn id="4" xr3:uid="{2B260DC4-CC75-44D4-B5F3-AEFDA93AA5FA}" uniqueName="4" name="Total number of sites (No.)" totalsRowFunction="sum" queryTableFieldId="4" dataDxfId="58" totalsRowDxfId="3"/>
    <tableColumn id="6" xr3:uid="{AF2AE45C-FB58-4F22-952B-129ECA928660}" uniqueName="6" name="Waste re-use scheme - Cost savings (£)" queryTableFieldId="6" dataDxfId="57" totalsRowDxfId="4"/>
    <tableColumn id="28" xr3:uid="{2FC86465-5F4D-452F-BF00-93622F6FC72B}" uniqueName="28" name="Waste re-use scheme - Cost savings (£) ( Cleaned)" totalsRowFunction="sum" queryTableFieldId="33" dataDxfId="56" totalsRowDxfId="5">
      <calculatedColumnFormula>IF(ISNUMBER(VALUE(SUBSTITUTE(SUBSTITUTE(E2,",",""),"£",""))), VALUE(SUBSTITUTE(SUBSTITUTE(E2,",",""),"£","")), 0)</calculatedColumnFormula>
    </tableColumn>
    <tableColumn id="8" xr3:uid="{F7990D68-12DB-4E13-B447-562EBF31BB21}" uniqueName="8" name="WEEE waste cost (£)" totalsRowFunction="sum" queryTableFieldId="8" dataDxfId="55" totalsRowDxfId="6"/>
    <tableColumn id="9" xr3:uid="{1851EE59-FBBD-4940-98CC-CFCBAC5F3A54}" uniqueName="9" name="Capital investment for new build (£)" totalsRowFunction="sum" queryTableFieldId="9" dataDxfId="54" totalsRowDxfId="7"/>
    <tableColumn id="10" xr3:uid="{10451D6F-4612-4609-8160-42685A7E348B}" uniqueName="10" name="Capital investment for changing/improving existing buildings (£)" totalsRowFunction="sum" queryTableFieldId="10" dataDxfId="53" totalsRowDxfId="8"/>
    <tableColumn id="11" xr3:uid="{DCA6F8FF-F607-492E-85CC-16330BC0FEE1}" uniqueName="11" name="Capital investment for maintaining (lifecycle) existing buildings (£)" totalsRowFunction="sum" queryTableFieldId="11" dataDxfId="52" totalsRowDxfId="9"/>
    <tableColumn id="12" xr3:uid="{7AF7B933-000B-438F-B8BD-A5BC66022AC8}" uniqueName="12" name="Capital investment for equipment (£)" totalsRowFunction="sum" queryTableFieldId="12" dataDxfId="51" totalsRowDxfId="10"/>
    <tableColumn id="13" xr3:uid="{2B342AF3-CD02-464C-BFAB-EF3659CC0708}" uniqueName="13" name="Private sector funding investment (£)" totalsRowFunction="sum" queryTableFieldId="13" dataDxfId="50" totalsRowDxfId="11"/>
    <tableColumn id="14" xr3:uid="{B9193EE4-A01E-4296-9C17-D4114EF69791}" uniqueName="14" name="Public sector funding investment (£)" totalsRowFunction="sum" queryTableFieldId="14" dataDxfId="49" totalsRowDxfId="12"/>
    <tableColumn id="15" xr3:uid="{9B1B7734-42E4-4606-8738-789B559354D5}" uniqueName="15" name="Charity and/or grant investment (£)" totalsRowFunction="sum" queryTableFieldId="15" dataDxfId="48" totalsRowDxfId="13"/>
    <tableColumn id="16" xr3:uid="{4B96947E-4289-4834-B4B0-1D705096BC69}" uniqueName="16" name="Number of energy efficient schemes (No)" totalsRowFunction="sum" queryTableFieldId="16" dataDxfId="47" totalsRowDxfId="14"/>
    <tableColumn id="17" xr3:uid="{5E78D250-D33E-4C1B-BF4F-4CD1713EBA67}" uniqueName="17" name="Energy efficient schemes costs (£)" queryTableFieldId="17" dataDxfId="46" totalsRowDxfId="15"/>
    <tableColumn id="30" xr3:uid="{ECB64E4F-EDF4-4E77-9124-C66D12CE1E46}" uniqueName="30" name="Energy efficient schemes costs (£) ( Cleaned )" totalsRowFunction="sum" queryTableFieldId="35" dataDxfId="45" totalsRowDxfId="16">
      <calculatedColumnFormula>IF(ISNUMBER(VALUE(SUBSTITUTE(SUBSTITUTE(P2,",",""),"£",""))), VALUE(SUBSTITUTE(SUBSTITUTE(P2,",",""),"£","")), 0)</calculatedColumnFormula>
    </tableColumn>
    <tableColumn id="19" xr3:uid="{86B0A25E-5399-422C-A257-9A224C0000FB}" uniqueName="19" name="Contribution to costs from areas leased out for retail sales (£)" queryTableFieldId="19" dataDxfId="44" totalsRowDxfId="17"/>
    <tableColumn id="29" xr3:uid="{901F2C9C-B55C-4F47-B8B4-39E5DF265BA5}" uniqueName="29" name="Contribution to costs from areas leased out for retail sales (£) ( Clean )" totalsRowFunction="sum" queryTableFieldId="34" dataDxfId="43" totalsRowDxfId="18">
      <calculatedColumnFormula>IF(ISNUMBER(VALUE(SUBSTITUTE(SUBSTITUTE(R2,",",""),"£",""))), VALUE(SUBSTITUTE(SUBSTITUTE(R2,",",""),"£","")), 0)</calculatedColumnFormula>
    </tableColumn>
    <tableColumn id="20" xr3:uid="{1518B03F-AF50-4B25-9B28-3083B3020213}" uniqueName="20" name="Contribution to costs from non NHS organisations (£)" totalsRowFunction="sum" queryTableFieldId="20" dataDxfId="42" totalsRowDxfId="19"/>
    <tableColumn id="21" xr3:uid="{1ACFFE65-06A3-4F0A-85AF-EBE3118E8392}" uniqueName="21" name="Contribution to costs from NHS organisations (£)" totalsRowFunction="sum" queryTableFieldId="21" dataDxfId="41" totalsRowDxfId="20"/>
    <tableColumn id="22" xr3:uid="{B14DA2FB-29AE-4AA5-8DA7-17BAA6021B5C}" uniqueName="22" name="Contribution to costs from local authorities (£)" totalsRowFunction="sum" queryTableFieldId="22" dataDxfId="40" totalsRowDxfId="21"/>
    <tableColumn id="23" xr3:uid="{88C398F3-3A67-4E27-9D06-F03D5BD8DD9B}" uniqueName="23" name="Income from car parking - patients and visitors (£)" queryTableFieldId="23" dataDxfId="39" totalsRowDxfId="22"/>
    <tableColumn id="7" xr3:uid="{871A935E-60E5-4BB5-8115-722B990D5AEE}" uniqueName="7" name="Income from car parking - patients and visitors (£) (Cleaned)" totalsRowFunction="sum" queryTableFieldId="32" dataDxfId="38" totalsRowDxfId="23">
      <calculatedColumnFormula>IF(ISNUMBER(VALUE(SUBSTITUTE(SUBSTITUTE(W2,",",""),"£",""))), VALUE(SUBSTITUTE(SUBSTITUTE(W2,",",""),"£","")), 0)</calculatedColumnFormula>
    </tableColumn>
    <tableColumn id="24" xr3:uid="{44D66751-1CFF-433E-BEA0-28063EAE30D0}" uniqueName="24" name="Income from car parking - staff (£)" queryTableFieldId="24" dataDxfId="37" totalsRowDxfId="24"/>
    <tableColumn id="31" xr3:uid="{D5A0A5C4-2115-4AAD-8035-1543C6E565B9}" uniqueName="31" name="Income from car parking - staff (£) ( Cleaned )" totalsRowFunction="sum" queryTableFieldId="36" dataDxfId="36" totalsRowDxfId="25">
      <calculatedColumnFormula>IF(ISNUMBER(VALUE(SUBSTITUTE(SUBSTITUTE(Y2,",",""),"£",""))), VALUE(SUBSTITUTE(SUBSTITUTE(Y2,",",""),"£","")), 0)</calculatedColumnFormula>
    </tableColumn>
    <tableColumn id="25" xr3:uid="{A49DEB24-01A5-489C-A6D4-6BB84E070523}" uniqueName="25" name="Total contributions (£)" totalsRowFunction="sum" queryTableFieldId="25" dataDxfId="35" totalsRowDxfId="26"/>
    <tableColumn id="26" xr3:uid="{F00BEBD5-3966-4759-8751-E11A221BBB94}" uniqueName="26" name="Medical Records cost - Onsite (£)" totalsRowFunction="sum" queryTableFieldId="26" dataDxfId="34" totalsRowDxfId="27"/>
    <tableColumn id="32" xr3:uid="{2816A1C2-A8C9-45D1-894A-2B2BE2E00E80}" uniqueName="32" name="Medical Records cost - Onsite (£) ( Cleaned )" totalsRowFunction="sum" queryTableFieldId="37" dataDxfId="33" totalsRowDxfId="28">
      <calculatedColumnFormula>IF(ISNUMBER(VALUE(SUBSTITUTE(SUBSTITUTE(AB2,",",""),"£",""))), VALUE(SUBSTITUTE(SUBSTITUTE(AB2,",",""),"£","")), 0)</calculatedColumnFormula>
    </tableColumn>
    <tableColumn id="27" xr3:uid="{25F79913-8B78-4657-AD38-B515A8DE2AE5}" uniqueName="27" name="Medical Records cost - Offsite (£)" queryTableFieldId="27" dataDxfId="32" totalsRowDxfId="29"/>
    <tableColumn id="34" xr3:uid="{6420ED09-D810-4250-81C6-2FF6CA06514C}" uniqueName="34" name="Medical Records cost - Offsite (£) ( Cleaned )" totalsRowFunction="sum" queryTableFieldId="38" dataDxfId="31" totalsRowDxfId="30">
      <calculatedColumnFormula>IF(ISNUMBER(VALUE(SUBSTITUTE(SUBSTITUTE(AD2,",",""),"£",""))), VALUE(SUBSTITUTE(SUBSTITUTE(AD2,",",""),"£","")), 0)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539C-7752-4B07-B1B4-5AA4C4152A4C}">
  <dimension ref="A1:AE210"/>
  <sheetViews>
    <sheetView tabSelected="1" zoomScale="70" zoomScaleNormal="70" workbookViewId="0">
      <selection activeCell="B15" sqref="B15"/>
    </sheetView>
  </sheetViews>
  <sheetFormatPr defaultRowHeight="14.5" x14ac:dyDescent="0.35"/>
  <cols>
    <col min="1" max="1" width="32.1796875" style="1" bestFit="1" customWidth="1"/>
    <col min="2" max="2" width="73.54296875" style="1" bestFit="1" customWidth="1"/>
    <col min="3" max="3" width="50.54296875" style="1" bestFit="1" customWidth="1"/>
    <col min="4" max="4" width="28.6328125" style="1" bestFit="1" customWidth="1"/>
    <col min="5" max="5" width="53.453125" style="2" bestFit="1" customWidth="1"/>
    <col min="6" max="6" width="50.1796875" style="1" bestFit="1" customWidth="1"/>
    <col min="7" max="7" width="23.26953125" style="1" bestFit="1" customWidth="1"/>
    <col min="8" max="8" width="36.36328125" style="1" bestFit="1" customWidth="1"/>
    <col min="9" max="9" width="60.6328125" style="1" bestFit="1" customWidth="1"/>
    <col min="10" max="10" width="62.6328125" style="1" bestFit="1" customWidth="1"/>
    <col min="11" max="12" width="37.54296875" style="1" bestFit="1" customWidth="1"/>
    <col min="13" max="13" width="37" style="1" bestFit="1" customWidth="1"/>
    <col min="14" max="14" width="35.7265625" style="1" bestFit="1" customWidth="1"/>
    <col min="15" max="15" width="41.1796875" style="1" bestFit="1" customWidth="1"/>
    <col min="16" max="16" width="35.453125" style="1" bestFit="1" customWidth="1"/>
    <col min="17" max="17" width="45" style="1" bestFit="1" customWidth="1"/>
    <col min="18" max="18" width="58.08984375" style="1" bestFit="1" customWidth="1"/>
    <col min="19" max="19" width="65.453125" style="1" bestFit="1" customWidth="1"/>
    <col min="20" max="20" width="51" style="1" bestFit="1" customWidth="1"/>
    <col min="21" max="21" width="47.36328125" style="1" bestFit="1" customWidth="1"/>
    <col min="22" max="22" width="45.54296875" style="1" bestFit="1" customWidth="1"/>
    <col min="23" max="23" width="47.90625" style="1" bestFit="1" customWidth="1"/>
    <col min="24" max="24" width="56.81640625" style="1" bestFit="1" customWidth="1"/>
    <col min="25" max="25" width="34.54296875" style="1" bestFit="1" customWidth="1"/>
    <col min="26" max="26" width="44.08984375" style="1" bestFit="1" customWidth="1"/>
    <col min="27" max="27" width="25" style="1" bestFit="1" customWidth="1"/>
    <col min="28" max="28" width="34.1796875" style="1" bestFit="1" customWidth="1"/>
    <col min="29" max="29" width="43.7265625" style="1" bestFit="1" customWidth="1"/>
    <col min="30" max="30" width="34.453125" style="1" bestFit="1" customWidth="1"/>
    <col min="31" max="31" width="43.90625" style="1" bestFit="1" customWidth="1"/>
    <col min="32" max="16384" width="8.7265625" style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1329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1331</v>
      </c>
      <c r="R1" s="1" t="s">
        <v>15</v>
      </c>
      <c r="S1" s="1" t="s">
        <v>1330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1328</v>
      </c>
      <c r="Y1" s="1" t="s">
        <v>20</v>
      </c>
      <c r="Z1" s="1" t="s">
        <v>1332</v>
      </c>
      <c r="AA1" s="1" t="s">
        <v>21</v>
      </c>
      <c r="AB1" s="1" t="s">
        <v>22</v>
      </c>
      <c r="AC1" s="1" t="s">
        <v>1334</v>
      </c>
      <c r="AD1" s="1" t="s">
        <v>23</v>
      </c>
      <c r="AE1" s="1" t="s">
        <v>1333</v>
      </c>
    </row>
    <row r="2" spans="1:31" x14ac:dyDescent="0.35">
      <c r="A2" s="1" t="s">
        <v>95</v>
      </c>
      <c r="B2" s="1" t="s">
        <v>96</v>
      </c>
      <c r="C2" s="1" t="s">
        <v>97</v>
      </c>
      <c r="D2" s="1">
        <v>136</v>
      </c>
      <c r="E2" s="2" t="s">
        <v>98</v>
      </c>
      <c r="F2" s="1">
        <f t="shared" ref="F2:F65" si="0">IF(ISNUMBER(VALUE(SUBSTITUTE(SUBSTITUTE(E2,",",""),"£",""))), VALUE(SUBSTITUTE(SUBSTITUTE(E2,",",""),"£","")), 0)</f>
        <v>1824</v>
      </c>
      <c r="G2" s="1">
        <v>0</v>
      </c>
      <c r="H2" s="1">
        <v>0</v>
      </c>
      <c r="I2" s="1">
        <v>5703673</v>
      </c>
      <c r="J2" s="1">
        <v>901668</v>
      </c>
      <c r="K2" s="1">
        <v>0</v>
      </c>
      <c r="L2" s="1">
        <v>0</v>
      </c>
      <c r="M2" s="1">
        <v>6605341</v>
      </c>
      <c r="N2" s="1">
        <v>0</v>
      </c>
      <c r="O2" s="1">
        <v>0</v>
      </c>
      <c r="P2" s="1" t="s">
        <v>28</v>
      </c>
      <c r="Q2" s="1">
        <f t="shared" ref="Q2:Q65" si="1">IF(ISNUMBER(VALUE(SUBSTITUTE(SUBSTITUTE(P2,",",""),"£",""))), VALUE(SUBSTITUTE(SUBSTITUTE(P2,",",""),"£","")), 0)</f>
        <v>0</v>
      </c>
      <c r="R2" s="1" t="s">
        <v>56</v>
      </c>
      <c r="S2" s="1">
        <f t="shared" ref="S2:S65" si="2">IF(ISNUMBER(VALUE(SUBSTITUTE(SUBSTITUTE(R2,",",""),"£",""))), VALUE(SUBSTITUTE(SUBSTITUTE(R2,",",""),"£","")), 0)</f>
        <v>0</v>
      </c>
      <c r="T2" s="1">
        <v>541755</v>
      </c>
      <c r="U2" s="1">
        <v>353195</v>
      </c>
      <c r="V2" s="1">
        <v>0</v>
      </c>
      <c r="W2" s="1" t="s">
        <v>56</v>
      </c>
      <c r="X2" s="1">
        <f t="shared" ref="X2:X65" si="3">IF(ISNUMBER(VALUE(SUBSTITUTE(SUBSTITUTE(W2,",",""),"£",""))), VALUE(SUBSTITUTE(SUBSTITUTE(W2,",",""),"£","")), 0)</f>
        <v>0</v>
      </c>
      <c r="Y2" s="1" t="s">
        <v>56</v>
      </c>
      <c r="Z2" s="1">
        <f t="shared" ref="Z2:Z65" si="4">IF(ISNUMBER(VALUE(SUBSTITUTE(SUBSTITUTE(Y2,",",""),"£",""))), VALUE(SUBSTITUTE(SUBSTITUTE(Y2,",",""),"£","")), 0)</f>
        <v>0</v>
      </c>
      <c r="AA2" s="1">
        <v>894950</v>
      </c>
      <c r="AB2" s="1" t="s">
        <v>99</v>
      </c>
      <c r="AC2" s="1">
        <f t="shared" ref="AC2:AC65" si="5">IF(ISNUMBER(VALUE(SUBSTITUTE(SUBSTITUTE(AB2,",",""),"£",""))), VALUE(SUBSTITUTE(SUBSTITUTE(AB2,",",""),"£","")), 0)</f>
        <v>17040</v>
      </c>
      <c r="AD2" s="1" t="s">
        <v>100</v>
      </c>
      <c r="AE2" s="1">
        <f t="shared" ref="AE2:AE65" si="6">IF(ISNUMBER(VALUE(SUBSTITUTE(SUBSTITUTE(AD2,",",""),"£",""))), VALUE(SUBSTITUTE(SUBSTITUTE(AD2,",",""),"£","")), 0)</f>
        <v>375577</v>
      </c>
    </row>
    <row r="3" spans="1:31" x14ac:dyDescent="0.35">
      <c r="A3" s="1" t="s">
        <v>133</v>
      </c>
      <c r="B3" s="1" t="s">
        <v>134</v>
      </c>
      <c r="C3" s="1" t="s">
        <v>97</v>
      </c>
      <c r="D3" s="1">
        <v>16</v>
      </c>
      <c r="E3" s="2" t="s">
        <v>135</v>
      </c>
      <c r="F3" s="1">
        <f t="shared" si="0"/>
        <v>9829</v>
      </c>
      <c r="G3" s="1">
        <v>0</v>
      </c>
      <c r="H3" s="1">
        <v>17698537</v>
      </c>
      <c r="I3" s="1">
        <v>18769163</v>
      </c>
      <c r="J3" s="1">
        <v>5693943</v>
      </c>
      <c r="K3" s="1">
        <v>0</v>
      </c>
      <c r="L3" s="1">
        <v>1567187</v>
      </c>
      <c r="M3" s="1">
        <v>40594456</v>
      </c>
      <c r="N3" s="1">
        <v>0</v>
      </c>
      <c r="O3" s="1">
        <v>0</v>
      </c>
      <c r="P3" s="1" t="s">
        <v>28</v>
      </c>
      <c r="Q3" s="1">
        <f t="shared" si="1"/>
        <v>0</v>
      </c>
      <c r="R3" s="1" t="s">
        <v>136</v>
      </c>
      <c r="S3" s="1">
        <f t="shared" si="2"/>
        <v>-204604</v>
      </c>
      <c r="T3" s="1">
        <v>-1209936</v>
      </c>
      <c r="U3" s="1">
        <v>-896654</v>
      </c>
      <c r="V3" s="1">
        <v>0</v>
      </c>
      <c r="W3" s="1" t="s">
        <v>137</v>
      </c>
      <c r="X3" s="1">
        <f t="shared" si="3"/>
        <v>-3427153</v>
      </c>
      <c r="Y3" s="1" t="s">
        <v>138</v>
      </c>
      <c r="Z3" s="1">
        <f t="shared" si="4"/>
        <v>-5495</v>
      </c>
      <c r="AA3" s="1">
        <v>-5743842</v>
      </c>
      <c r="AB3" s="1" t="s">
        <v>139</v>
      </c>
      <c r="AC3" s="1">
        <f t="shared" si="5"/>
        <v>4001479</v>
      </c>
      <c r="AD3" s="1" t="s">
        <v>140</v>
      </c>
      <c r="AE3" s="1">
        <f t="shared" si="6"/>
        <v>419000</v>
      </c>
    </row>
    <row r="4" spans="1:31" x14ac:dyDescent="0.35">
      <c r="A4" s="1" t="s">
        <v>234</v>
      </c>
      <c r="B4" s="1" t="s">
        <v>235</v>
      </c>
      <c r="C4" s="1" t="s">
        <v>97</v>
      </c>
      <c r="D4" s="1">
        <v>16</v>
      </c>
      <c r="E4" s="2" t="s">
        <v>28</v>
      </c>
      <c r="F4" s="1">
        <f t="shared" si="0"/>
        <v>0</v>
      </c>
      <c r="G4" s="1">
        <v>3630</v>
      </c>
      <c r="H4" s="1">
        <v>62152311</v>
      </c>
      <c r="I4" s="1">
        <v>17661622</v>
      </c>
      <c r="J4" s="1">
        <v>3327635</v>
      </c>
      <c r="K4" s="1">
        <v>12948748</v>
      </c>
      <c r="L4" s="1">
        <v>0</v>
      </c>
      <c r="M4" s="1">
        <v>94213066</v>
      </c>
      <c r="N4" s="1">
        <v>1877250</v>
      </c>
      <c r="O4" s="1">
        <v>10</v>
      </c>
      <c r="P4" s="1" t="s">
        <v>236</v>
      </c>
      <c r="Q4" s="1">
        <f t="shared" si="1"/>
        <v>2310000</v>
      </c>
      <c r="R4" s="1" t="s">
        <v>237</v>
      </c>
      <c r="S4" s="1">
        <f t="shared" si="2"/>
        <v>-115126</v>
      </c>
      <c r="T4" s="1">
        <v>-1841563</v>
      </c>
      <c r="U4" s="1">
        <v>-2107528</v>
      </c>
      <c r="V4" s="1">
        <v>0</v>
      </c>
      <c r="W4" s="1" t="s">
        <v>238</v>
      </c>
      <c r="X4" s="1">
        <f t="shared" si="3"/>
        <v>-2217853</v>
      </c>
      <c r="Y4" s="1" t="s">
        <v>56</v>
      </c>
      <c r="Z4" s="1">
        <f t="shared" si="4"/>
        <v>0</v>
      </c>
      <c r="AA4" s="1">
        <v>-6282070</v>
      </c>
      <c r="AB4" s="1" t="s">
        <v>239</v>
      </c>
      <c r="AC4" s="1">
        <f t="shared" si="5"/>
        <v>183411</v>
      </c>
      <c r="AD4" s="1" t="s">
        <v>240</v>
      </c>
      <c r="AE4" s="1">
        <f t="shared" si="6"/>
        <v>467887</v>
      </c>
    </row>
    <row r="5" spans="1:31" x14ac:dyDescent="0.35">
      <c r="A5" s="1" t="s">
        <v>273</v>
      </c>
      <c r="B5" s="1" t="s">
        <v>274</v>
      </c>
      <c r="C5" s="1" t="s">
        <v>97</v>
      </c>
      <c r="D5" s="1">
        <v>4</v>
      </c>
      <c r="E5" s="2" t="s">
        <v>275</v>
      </c>
      <c r="F5" s="1">
        <f t="shared" si="0"/>
        <v>20000</v>
      </c>
      <c r="G5" s="1">
        <v>6510</v>
      </c>
      <c r="H5" s="1">
        <v>21336670</v>
      </c>
      <c r="I5" s="1">
        <v>5071178</v>
      </c>
      <c r="J5" s="1">
        <v>23696527</v>
      </c>
      <c r="K5" s="1">
        <v>6201717</v>
      </c>
      <c r="L5" s="1">
        <v>0</v>
      </c>
      <c r="M5" s="1">
        <v>55554092</v>
      </c>
      <c r="N5" s="1">
        <v>752000</v>
      </c>
      <c r="O5" s="1">
        <v>3</v>
      </c>
      <c r="P5" s="1" t="s">
        <v>276</v>
      </c>
      <c r="Q5" s="1">
        <f t="shared" si="1"/>
        <v>197573</v>
      </c>
      <c r="R5" s="1" t="s">
        <v>277</v>
      </c>
      <c r="S5" s="1">
        <f t="shared" si="2"/>
        <v>-255356</v>
      </c>
      <c r="T5" s="1">
        <v>-371707</v>
      </c>
      <c r="U5" s="1">
        <v>-64638</v>
      </c>
      <c r="V5" s="1">
        <v>0</v>
      </c>
      <c r="W5" s="1" t="s">
        <v>278</v>
      </c>
      <c r="X5" s="1">
        <f t="shared" si="3"/>
        <v>-832074</v>
      </c>
      <c r="Y5" s="1" t="s">
        <v>56</v>
      </c>
      <c r="Z5" s="1">
        <f t="shared" si="4"/>
        <v>0</v>
      </c>
      <c r="AA5" s="1">
        <v>-1523775</v>
      </c>
      <c r="AB5" s="1" t="s">
        <v>279</v>
      </c>
      <c r="AC5" s="1">
        <f t="shared" si="5"/>
        <v>689816</v>
      </c>
      <c r="AD5" s="1" t="s">
        <v>280</v>
      </c>
      <c r="AE5" s="1">
        <f t="shared" si="6"/>
        <v>53358</v>
      </c>
    </row>
    <row r="6" spans="1:31" x14ac:dyDescent="0.35">
      <c r="A6" s="1" t="s">
        <v>288</v>
      </c>
      <c r="B6" s="1" t="s">
        <v>289</v>
      </c>
      <c r="C6" s="1" t="s">
        <v>97</v>
      </c>
      <c r="D6" s="1">
        <v>6</v>
      </c>
      <c r="E6" s="2" t="s">
        <v>28</v>
      </c>
      <c r="F6" s="1">
        <f t="shared" si="0"/>
        <v>0</v>
      </c>
      <c r="G6" s="1">
        <v>6816</v>
      </c>
      <c r="H6" s="1">
        <v>24002993</v>
      </c>
      <c r="I6" s="1">
        <v>5091915</v>
      </c>
      <c r="J6" s="1">
        <v>0</v>
      </c>
      <c r="K6" s="1">
        <v>143669</v>
      </c>
      <c r="L6" s="1">
        <v>0</v>
      </c>
      <c r="M6" s="1">
        <v>20823742</v>
      </c>
      <c r="N6" s="1">
        <v>8414835</v>
      </c>
      <c r="O6" s="1">
        <v>2</v>
      </c>
      <c r="P6" s="1" t="s">
        <v>290</v>
      </c>
      <c r="Q6" s="1">
        <f t="shared" si="1"/>
        <v>1186592</v>
      </c>
      <c r="R6" s="1" t="s">
        <v>56</v>
      </c>
      <c r="S6" s="1">
        <f t="shared" si="2"/>
        <v>0</v>
      </c>
      <c r="T6" s="1">
        <v>0</v>
      </c>
      <c r="U6" s="1">
        <v>0</v>
      </c>
      <c r="V6" s="1">
        <v>0</v>
      </c>
      <c r="W6" s="1" t="s">
        <v>291</v>
      </c>
      <c r="X6" s="1">
        <f t="shared" si="3"/>
        <v>-1428771</v>
      </c>
      <c r="Y6" s="1" t="s">
        <v>292</v>
      </c>
      <c r="Z6" s="1">
        <f t="shared" si="4"/>
        <v>-22784</v>
      </c>
      <c r="AA6" s="1">
        <v>-1451555</v>
      </c>
      <c r="AB6" s="1" t="s">
        <v>293</v>
      </c>
      <c r="AC6" s="1">
        <f t="shared" si="5"/>
        <v>668217</v>
      </c>
      <c r="AD6" s="1" t="s">
        <v>294</v>
      </c>
      <c r="AE6" s="1">
        <f t="shared" si="6"/>
        <v>8576</v>
      </c>
    </row>
    <row r="7" spans="1:31" x14ac:dyDescent="0.35">
      <c r="A7" s="1" t="s">
        <v>295</v>
      </c>
      <c r="B7" s="1" t="s">
        <v>296</v>
      </c>
      <c r="C7" s="1" t="s">
        <v>97</v>
      </c>
      <c r="D7" s="1">
        <v>37</v>
      </c>
      <c r="E7" s="2" t="s">
        <v>28</v>
      </c>
      <c r="F7" s="1">
        <f t="shared" si="0"/>
        <v>0</v>
      </c>
      <c r="G7" s="1">
        <v>7641</v>
      </c>
      <c r="H7" s="1">
        <v>57297022</v>
      </c>
      <c r="I7" s="1">
        <v>7473113</v>
      </c>
      <c r="J7" s="1">
        <v>4049000</v>
      </c>
      <c r="K7" s="1">
        <v>0</v>
      </c>
      <c r="L7" s="1">
        <v>958000</v>
      </c>
      <c r="M7" s="1">
        <v>67861135</v>
      </c>
      <c r="N7" s="1">
        <v>0</v>
      </c>
      <c r="O7" s="1">
        <v>0</v>
      </c>
      <c r="P7" s="1" t="s">
        <v>28</v>
      </c>
      <c r="Q7" s="1">
        <f t="shared" si="1"/>
        <v>0</v>
      </c>
      <c r="R7" s="1" t="s">
        <v>297</v>
      </c>
      <c r="S7" s="1">
        <f t="shared" si="2"/>
        <v>-1545640</v>
      </c>
      <c r="T7" s="1">
        <v>-1152163</v>
      </c>
      <c r="U7" s="1">
        <v>-357790</v>
      </c>
      <c r="V7" s="1">
        <v>0</v>
      </c>
      <c r="W7" s="1" t="s">
        <v>298</v>
      </c>
      <c r="X7" s="1">
        <f t="shared" si="3"/>
        <v>-2908163</v>
      </c>
      <c r="Y7" s="1" t="s">
        <v>299</v>
      </c>
      <c r="Z7" s="1">
        <f t="shared" si="4"/>
        <v>-564727</v>
      </c>
      <c r="AA7" s="1">
        <v>-6528483</v>
      </c>
      <c r="AB7" s="1" t="s">
        <v>300</v>
      </c>
      <c r="AC7" s="1">
        <f t="shared" si="5"/>
        <v>1525639</v>
      </c>
      <c r="AD7" s="1" t="s">
        <v>301</v>
      </c>
      <c r="AE7" s="1">
        <f t="shared" si="6"/>
        <v>92495</v>
      </c>
    </row>
    <row r="8" spans="1:31" x14ac:dyDescent="0.35">
      <c r="A8" s="1" t="s">
        <v>388</v>
      </c>
      <c r="B8" s="1" t="s">
        <v>389</v>
      </c>
      <c r="C8" s="1" t="s">
        <v>97</v>
      </c>
      <c r="D8" s="1">
        <v>4</v>
      </c>
      <c r="E8" s="2" t="s">
        <v>28</v>
      </c>
      <c r="F8" s="1">
        <f t="shared" si="0"/>
        <v>0</v>
      </c>
      <c r="G8" s="1">
        <v>12604</v>
      </c>
      <c r="H8" s="1">
        <v>334917</v>
      </c>
      <c r="I8" s="1">
        <v>246526</v>
      </c>
      <c r="J8" s="1">
        <v>0</v>
      </c>
      <c r="K8" s="1">
        <v>14430</v>
      </c>
      <c r="L8" s="1">
        <v>0</v>
      </c>
      <c r="M8" s="1">
        <v>595873</v>
      </c>
      <c r="N8" s="1">
        <v>0</v>
      </c>
      <c r="O8" s="1">
        <v>0</v>
      </c>
      <c r="P8" s="1" t="s">
        <v>28</v>
      </c>
      <c r="Q8" s="1">
        <f t="shared" si="1"/>
        <v>0</v>
      </c>
      <c r="R8" s="1" t="s">
        <v>56</v>
      </c>
      <c r="S8" s="1">
        <f t="shared" si="2"/>
        <v>0</v>
      </c>
      <c r="T8" s="1">
        <v>0</v>
      </c>
      <c r="U8" s="1">
        <v>0</v>
      </c>
      <c r="V8" s="1">
        <v>0</v>
      </c>
      <c r="W8" s="1" t="s">
        <v>56</v>
      </c>
      <c r="X8" s="1">
        <f t="shared" si="3"/>
        <v>0</v>
      </c>
      <c r="Y8" s="1" t="s">
        <v>56</v>
      </c>
      <c r="Z8" s="1">
        <f t="shared" si="4"/>
        <v>0</v>
      </c>
      <c r="AA8" s="1">
        <v>0</v>
      </c>
      <c r="AB8" s="1" t="s">
        <v>56</v>
      </c>
      <c r="AC8" s="1">
        <f t="shared" si="5"/>
        <v>0</v>
      </c>
      <c r="AD8" s="1" t="s">
        <v>390</v>
      </c>
      <c r="AE8" s="1">
        <f t="shared" si="6"/>
        <v>30290</v>
      </c>
    </row>
    <row r="9" spans="1:31" x14ac:dyDescent="0.35">
      <c r="A9" s="1" t="s">
        <v>391</v>
      </c>
      <c r="B9" s="1" t="s">
        <v>392</v>
      </c>
      <c r="C9" s="1" t="s">
        <v>97</v>
      </c>
      <c r="D9" s="1">
        <v>11</v>
      </c>
      <c r="E9" s="2" t="s">
        <v>28</v>
      </c>
      <c r="F9" s="1">
        <f t="shared" si="0"/>
        <v>0</v>
      </c>
      <c r="G9" s="1">
        <v>37522</v>
      </c>
      <c r="H9" s="1">
        <v>33800745</v>
      </c>
      <c r="I9" s="1">
        <v>13018970</v>
      </c>
      <c r="J9" s="1">
        <v>1905609</v>
      </c>
      <c r="K9" s="1">
        <v>612540</v>
      </c>
      <c r="L9" s="1">
        <v>220100</v>
      </c>
      <c r="M9" s="1">
        <v>49117764</v>
      </c>
      <c r="N9" s="1">
        <v>0</v>
      </c>
      <c r="O9" s="1">
        <v>1</v>
      </c>
      <c r="P9" s="1" t="s">
        <v>393</v>
      </c>
      <c r="Q9" s="1">
        <f t="shared" si="1"/>
        <v>3750000</v>
      </c>
      <c r="R9" s="1" t="s">
        <v>394</v>
      </c>
      <c r="S9" s="1">
        <f t="shared" si="2"/>
        <v>-178280</v>
      </c>
      <c r="T9" s="1">
        <v>-2695634</v>
      </c>
      <c r="U9" s="1">
        <v>-1329097</v>
      </c>
      <c r="V9" s="1">
        <v>0</v>
      </c>
      <c r="W9" s="1" t="s">
        <v>395</v>
      </c>
      <c r="X9" s="1">
        <f t="shared" si="3"/>
        <v>-2055824</v>
      </c>
      <c r="Y9" s="1" t="s">
        <v>56</v>
      </c>
      <c r="Z9" s="1">
        <f t="shared" si="4"/>
        <v>0</v>
      </c>
      <c r="AA9" s="1">
        <v>-6258835</v>
      </c>
      <c r="AB9" s="1" t="s">
        <v>396</v>
      </c>
      <c r="AC9" s="1">
        <f t="shared" si="5"/>
        <v>1283769</v>
      </c>
      <c r="AD9" s="1" t="s">
        <v>397</v>
      </c>
      <c r="AE9" s="1">
        <f t="shared" si="6"/>
        <v>759896</v>
      </c>
    </row>
    <row r="10" spans="1:31" x14ac:dyDescent="0.35">
      <c r="A10" s="1" t="s">
        <v>398</v>
      </c>
      <c r="B10" s="1" t="s">
        <v>399</v>
      </c>
      <c r="C10" s="1" t="s">
        <v>97</v>
      </c>
      <c r="D10" s="1">
        <v>2</v>
      </c>
      <c r="E10" s="2" t="s">
        <v>28</v>
      </c>
      <c r="F10" s="1">
        <f t="shared" si="0"/>
        <v>0</v>
      </c>
      <c r="G10" s="1">
        <v>142</v>
      </c>
      <c r="H10" s="1">
        <v>34825102</v>
      </c>
      <c r="I10" s="1">
        <v>196238</v>
      </c>
      <c r="J10" s="1">
        <v>9312567</v>
      </c>
      <c r="K10" s="1">
        <v>782601</v>
      </c>
      <c r="L10" s="1">
        <v>0</v>
      </c>
      <c r="M10" s="1">
        <v>45058157</v>
      </c>
      <c r="N10" s="1">
        <v>58351</v>
      </c>
      <c r="O10" s="1">
        <v>2</v>
      </c>
      <c r="P10" s="1" t="s">
        <v>400</v>
      </c>
      <c r="Q10" s="1">
        <f t="shared" si="1"/>
        <v>80000</v>
      </c>
      <c r="R10" s="1" t="s">
        <v>401</v>
      </c>
      <c r="S10" s="1">
        <f t="shared" si="2"/>
        <v>-35125</v>
      </c>
      <c r="T10" s="1">
        <v>102908</v>
      </c>
      <c r="U10" s="1">
        <v>0</v>
      </c>
      <c r="V10" s="1">
        <v>0</v>
      </c>
      <c r="W10" s="1" t="s">
        <v>402</v>
      </c>
      <c r="X10" s="1">
        <f t="shared" si="3"/>
        <v>-709428</v>
      </c>
      <c r="Y10" s="1" t="s">
        <v>403</v>
      </c>
      <c r="Z10" s="1">
        <f t="shared" si="4"/>
        <v>-44812</v>
      </c>
      <c r="AA10" s="1">
        <v>-686457</v>
      </c>
      <c r="AB10" s="1" t="s">
        <v>404</v>
      </c>
      <c r="AC10" s="1">
        <f t="shared" si="5"/>
        <v>1147056</v>
      </c>
      <c r="AD10" s="1" t="s">
        <v>56</v>
      </c>
      <c r="AE10" s="1">
        <f t="shared" si="6"/>
        <v>0</v>
      </c>
    </row>
    <row r="11" spans="1:31" x14ac:dyDescent="0.35">
      <c r="A11" s="1" t="s">
        <v>405</v>
      </c>
      <c r="B11" s="1" t="s">
        <v>406</v>
      </c>
      <c r="C11" s="1" t="s">
        <v>97</v>
      </c>
      <c r="D11" s="1">
        <v>27</v>
      </c>
      <c r="E11" s="2" t="s">
        <v>407</v>
      </c>
      <c r="F11" s="1">
        <f t="shared" si="0"/>
        <v>1250</v>
      </c>
      <c r="G11" s="1">
        <v>0</v>
      </c>
      <c r="H11" s="1">
        <v>10991959</v>
      </c>
      <c r="I11" s="1">
        <v>1452907</v>
      </c>
      <c r="J11" s="1">
        <v>11207151</v>
      </c>
      <c r="K11" s="1">
        <v>7151590</v>
      </c>
      <c r="L11" s="1">
        <v>0</v>
      </c>
      <c r="M11" s="1">
        <v>30803607</v>
      </c>
      <c r="N11" s="1">
        <v>0</v>
      </c>
      <c r="O11" s="1">
        <v>0</v>
      </c>
      <c r="P11" s="1" t="s">
        <v>28</v>
      </c>
      <c r="Q11" s="1">
        <f t="shared" si="1"/>
        <v>0</v>
      </c>
      <c r="R11" s="1" t="s">
        <v>408</v>
      </c>
      <c r="S11" s="1">
        <f t="shared" si="2"/>
        <v>-135461</v>
      </c>
      <c r="T11" s="1">
        <v>-803721</v>
      </c>
      <c r="U11" s="1">
        <v>-1450008</v>
      </c>
      <c r="V11" s="1">
        <v>0</v>
      </c>
      <c r="W11" s="1" t="s">
        <v>409</v>
      </c>
      <c r="X11" s="1">
        <f t="shared" si="3"/>
        <v>-1178658</v>
      </c>
      <c r="Y11" s="1" t="s">
        <v>410</v>
      </c>
      <c r="Z11" s="1">
        <f t="shared" si="4"/>
        <v>-465052</v>
      </c>
      <c r="AA11" s="1">
        <v>-4032900</v>
      </c>
      <c r="AB11" s="1" t="s">
        <v>411</v>
      </c>
      <c r="AC11" s="1">
        <f t="shared" si="5"/>
        <v>1074054</v>
      </c>
      <c r="AD11" s="1" t="s">
        <v>56</v>
      </c>
      <c r="AE11" s="1">
        <f t="shared" si="6"/>
        <v>0</v>
      </c>
    </row>
    <row r="12" spans="1:31" x14ac:dyDescent="0.35">
      <c r="A12" s="1" t="s">
        <v>412</v>
      </c>
      <c r="B12" s="1" t="s">
        <v>413</v>
      </c>
      <c r="C12" s="1" t="s">
        <v>97</v>
      </c>
      <c r="D12" s="1">
        <v>47</v>
      </c>
      <c r="E12" s="2" t="s">
        <v>28</v>
      </c>
      <c r="F12" s="1">
        <f t="shared" si="0"/>
        <v>0</v>
      </c>
      <c r="G12" s="1">
        <v>15483</v>
      </c>
      <c r="H12" s="1">
        <v>17511506</v>
      </c>
      <c r="I12" s="1">
        <v>4456191</v>
      </c>
      <c r="J12" s="1">
        <v>11443570</v>
      </c>
      <c r="K12" s="1">
        <v>21406728</v>
      </c>
      <c r="L12" s="1">
        <v>0</v>
      </c>
      <c r="M12" s="1">
        <v>49382110</v>
      </c>
      <c r="N12" s="1">
        <v>5435885</v>
      </c>
      <c r="O12" s="1">
        <v>7</v>
      </c>
      <c r="P12" s="1" t="s">
        <v>414</v>
      </c>
      <c r="Q12" s="1">
        <f t="shared" si="1"/>
        <v>121310</v>
      </c>
      <c r="R12" s="1" t="s">
        <v>415</v>
      </c>
      <c r="S12" s="1">
        <f t="shared" si="2"/>
        <v>-664891</v>
      </c>
      <c r="T12" s="1">
        <v>-3169808</v>
      </c>
      <c r="U12" s="1">
        <v>-14428111</v>
      </c>
      <c r="V12" s="1">
        <v>-56016</v>
      </c>
      <c r="W12" s="1" t="s">
        <v>416</v>
      </c>
      <c r="X12" s="1">
        <f t="shared" si="3"/>
        <v>-9271</v>
      </c>
      <c r="Y12" s="1" t="s">
        <v>417</v>
      </c>
      <c r="Z12" s="1">
        <f t="shared" si="4"/>
        <v>-1113369</v>
      </c>
      <c r="AA12" s="1">
        <v>-19441466</v>
      </c>
      <c r="AB12" s="1" t="s">
        <v>418</v>
      </c>
      <c r="AC12" s="1">
        <f t="shared" si="5"/>
        <v>168994</v>
      </c>
      <c r="AD12" s="1" t="s">
        <v>419</v>
      </c>
      <c r="AE12" s="1">
        <f t="shared" si="6"/>
        <v>24400</v>
      </c>
    </row>
    <row r="13" spans="1:31" x14ac:dyDescent="0.35">
      <c r="A13" s="1" t="s">
        <v>618</v>
      </c>
      <c r="B13" s="1" t="s">
        <v>619</v>
      </c>
      <c r="C13" s="1" t="s">
        <v>97</v>
      </c>
      <c r="D13" s="1">
        <v>14</v>
      </c>
      <c r="E13" s="2" t="s">
        <v>28</v>
      </c>
      <c r="F13" s="1">
        <f t="shared" si="0"/>
        <v>0</v>
      </c>
      <c r="G13" s="1">
        <v>12460</v>
      </c>
      <c r="H13" s="1">
        <v>24155528</v>
      </c>
      <c r="I13" s="1">
        <v>3239583</v>
      </c>
      <c r="J13" s="1">
        <v>0</v>
      </c>
      <c r="K13" s="1">
        <v>0</v>
      </c>
      <c r="L13" s="1">
        <v>0</v>
      </c>
      <c r="M13" s="1">
        <v>27363271</v>
      </c>
      <c r="N13" s="1">
        <v>31840</v>
      </c>
      <c r="O13" s="1">
        <v>2</v>
      </c>
      <c r="P13" s="1" t="s">
        <v>620</v>
      </c>
      <c r="Q13" s="1">
        <f t="shared" si="1"/>
        <v>193279</v>
      </c>
      <c r="R13" s="1" t="s">
        <v>621</v>
      </c>
      <c r="S13" s="1">
        <f t="shared" si="2"/>
        <v>-254784</v>
      </c>
      <c r="T13" s="1">
        <v>0</v>
      </c>
      <c r="U13" s="1">
        <v>-209634</v>
      </c>
      <c r="V13" s="1">
        <v>-29869</v>
      </c>
      <c r="W13" s="1" t="s">
        <v>622</v>
      </c>
      <c r="X13" s="1">
        <f t="shared" si="3"/>
        <v>-1639776</v>
      </c>
      <c r="Y13" s="1" t="s">
        <v>623</v>
      </c>
      <c r="Z13" s="1">
        <f t="shared" si="4"/>
        <v>-1285459</v>
      </c>
      <c r="AA13" s="1">
        <v>-3419522</v>
      </c>
      <c r="AB13" s="1" t="s">
        <v>624</v>
      </c>
      <c r="AC13" s="1">
        <f t="shared" si="5"/>
        <v>2117956</v>
      </c>
      <c r="AD13" s="1" t="s">
        <v>56</v>
      </c>
      <c r="AE13" s="1">
        <f t="shared" si="6"/>
        <v>0</v>
      </c>
    </row>
    <row r="14" spans="1:31" x14ac:dyDescent="0.35">
      <c r="A14" s="1" t="s">
        <v>647</v>
      </c>
      <c r="B14" s="1" t="s">
        <v>648</v>
      </c>
      <c r="C14" s="1" t="s">
        <v>97</v>
      </c>
      <c r="D14" s="1">
        <v>42</v>
      </c>
      <c r="E14" s="2" t="s">
        <v>649</v>
      </c>
      <c r="F14" s="1">
        <f t="shared" si="0"/>
        <v>50000</v>
      </c>
      <c r="G14" s="1">
        <v>928</v>
      </c>
      <c r="H14" s="1">
        <v>3772732</v>
      </c>
      <c r="I14" s="1">
        <v>3755930</v>
      </c>
      <c r="J14" s="1">
        <v>479525</v>
      </c>
      <c r="K14" s="1">
        <v>744020</v>
      </c>
      <c r="L14" s="1">
        <v>0</v>
      </c>
      <c r="M14" s="1">
        <v>8752207</v>
      </c>
      <c r="N14" s="1">
        <v>0</v>
      </c>
      <c r="O14" s="1">
        <v>0</v>
      </c>
      <c r="P14" s="1" t="s">
        <v>28</v>
      </c>
      <c r="Q14" s="1">
        <f t="shared" si="1"/>
        <v>0</v>
      </c>
      <c r="R14" s="1" t="s">
        <v>56</v>
      </c>
      <c r="S14" s="1">
        <f t="shared" si="2"/>
        <v>0</v>
      </c>
      <c r="T14" s="1">
        <v>6032</v>
      </c>
      <c r="U14" s="1">
        <v>494309</v>
      </c>
      <c r="V14" s="1">
        <v>10158</v>
      </c>
      <c r="W14" s="1" t="s">
        <v>56</v>
      </c>
      <c r="X14" s="1">
        <f t="shared" si="3"/>
        <v>0</v>
      </c>
      <c r="Y14" s="1" t="s">
        <v>56</v>
      </c>
      <c r="Z14" s="1">
        <f t="shared" si="4"/>
        <v>0</v>
      </c>
      <c r="AA14" s="1">
        <v>510499</v>
      </c>
      <c r="AB14" s="1" t="s">
        <v>650</v>
      </c>
      <c r="AC14" s="1">
        <f t="shared" si="5"/>
        <v>218887</v>
      </c>
      <c r="AD14" s="1" t="s">
        <v>56</v>
      </c>
      <c r="AE14" s="1">
        <f t="shared" si="6"/>
        <v>0</v>
      </c>
    </row>
    <row r="15" spans="1:31" x14ac:dyDescent="0.35">
      <c r="A15" s="1" t="s">
        <v>785</v>
      </c>
      <c r="B15" s="1" t="s">
        <v>786</v>
      </c>
      <c r="C15" s="1" t="s">
        <v>97</v>
      </c>
      <c r="D15" s="1">
        <v>13</v>
      </c>
      <c r="E15" s="2" t="s">
        <v>28</v>
      </c>
      <c r="F15" s="1">
        <f t="shared" si="0"/>
        <v>0</v>
      </c>
      <c r="G15" s="1">
        <v>8010</v>
      </c>
      <c r="H15" s="1">
        <v>5156000</v>
      </c>
      <c r="I15" s="1">
        <v>316000</v>
      </c>
      <c r="J15" s="1">
        <v>3337000</v>
      </c>
      <c r="K15" s="1">
        <v>1315000</v>
      </c>
      <c r="L15" s="1">
        <v>0</v>
      </c>
      <c r="M15" s="1">
        <v>10124000</v>
      </c>
      <c r="N15" s="1">
        <v>0</v>
      </c>
      <c r="O15" s="1">
        <v>2</v>
      </c>
      <c r="P15" s="1" t="s">
        <v>787</v>
      </c>
      <c r="Q15" s="1">
        <f t="shared" si="1"/>
        <v>159193</v>
      </c>
      <c r="R15" s="1" t="s">
        <v>788</v>
      </c>
      <c r="S15" s="1">
        <f t="shared" si="2"/>
        <v>-132814</v>
      </c>
      <c r="T15" s="1">
        <v>16571</v>
      </c>
      <c r="U15" s="1">
        <v>-2005680</v>
      </c>
      <c r="V15" s="1">
        <v>0</v>
      </c>
      <c r="W15" s="1" t="s">
        <v>789</v>
      </c>
      <c r="X15" s="1">
        <f t="shared" si="3"/>
        <v>-777812</v>
      </c>
      <c r="Y15" s="1" t="s">
        <v>56</v>
      </c>
      <c r="Z15" s="1">
        <f t="shared" si="4"/>
        <v>0</v>
      </c>
      <c r="AA15" s="1">
        <v>-2899735</v>
      </c>
      <c r="AB15" s="1" t="s">
        <v>790</v>
      </c>
      <c r="AC15" s="1">
        <f t="shared" si="5"/>
        <v>1100693</v>
      </c>
      <c r="AD15" s="1" t="s">
        <v>791</v>
      </c>
      <c r="AE15" s="1">
        <f t="shared" si="6"/>
        <v>58477</v>
      </c>
    </row>
    <row r="16" spans="1:31" x14ac:dyDescent="0.35">
      <c r="A16" s="1" t="s">
        <v>863</v>
      </c>
      <c r="B16" s="1" t="s">
        <v>864</v>
      </c>
      <c r="C16" s="1" t="s">
        <v>97</v>
      </c>
      <c r="D16" s="1">
        <v>46</v>
      </c>
      <c r="E16" s="2" t="s">
        <v>56</v>
      </c>
      <c r="F16" s="1">
        <f t="shared" si="0"/>
        <v>0</v>
      </c>
      <c r="G16" s="1">
        <v>100</v>
      </c>
      <c r="H16" s="1">
        <v>427688</v>
      </c>
      <c r="I16" s="1">
        <v>92224</v>
      </c>
      <c r="J16" s="1">
        <v>2522366</v>
      </c>
      <c r="K16" s="1">
        <v>30631</v>
      </c>
      <c r="L16" s="1">
        <v>390000</v>
      </c>
      <c r="M16" s="1">
        <v>2682909</v>
      </c>
      <c r="N16" s="1">
        <v>0</v>
      </c>
      <c r="O16" s="1">
        <v>3</v>
      </c>
      <c r="P16" s="1" t="s">
        <v>865</v>
      </c>
      <c r="Q16" s="1">
        <f t="shared" si="1"/>
        <v>110720</v>
      </c>
      <c r="R16" s="1" t="s">
        <v>56</v>
      </c>
      <c r="S16" s="1">
        <f t="shared" si="2"/>
        <v>0</v>
      </c>
      <c r="T16" s="1">
        <v>50000</v>
      </c>
      <c r="U16" s="1">
        <v>-237000</v>
      </c>
      <c r="V16" s="1">
        <v>0</v>
      </c>
      <c r="W16" s="1" t="s">
        <v>56</v>
      </c>
      <c r="X16" s="1">
        <f t="shared" si="3"/>
        <v>0</v>
      </c>
      <c r="Y16" s="1" t="s">
        <v>56</v>
      </c>
      <c r="Z16" s="1">
        <f t="shared" si="4"/>
        <v>0</v>
      </c>
      <c r="AA16" s="1">
        <v>-187000</v>
      </c>
      <c r="AB16" s="1" t="s">
        <v>866</v>
      </c>
      <c r="AC16" s="1">
        <f t="shared" si="5"/>
        <v>18410</v>
      </c>
      <c r="AD16" s="1" t="s">
        <v>867</v>
      </c>
      <c r="AE16" s="1">
        <f t="shared" si="6"/>
        <v>109722</v>
      </c>
    </row>
    <row r="17" spans="1:31" x14ac:dyDescent="0.35">
      <c r="A17" s="1" t="s">
        <v>1031</v>
      </c>
      <c r="B17" s="1" t="s">
        <v>1032</v>
      </c>
      <c r="C17" s="1" t="s">
        <v>97</v>
      </c>
      <c r="D17" s="1">
        <v>5</v>
      </c>
      <c r="E17" s="2" t="s">
        <v>28</v>
      </c>
      <c r="F17" s="1">
        <f t="shared" si="0"/>
        <v>0</v>
      </c>
      <c r="G17" s="1">
        <v>4530</v>
      </c>
      <c r="H17" s="1">
        <v>0</v>
      </c>
      <c r="I17" s="1">
        <v>5194030</v>
      </c>
      <c r="J17" s="1">
        <v>1257789</v>
      </c>
      <c r="K17" s="1">
        <v>1192466</v>
      </c>
      <c r="L17" s="1">
        <v>0</v>
      </c>
      <c r="M17" s="1">
        <v>7644285</v>
      </c>
      <c r="N17" s="1">
        <v>0</v>
      </c>
      <c r="O17" s="1">
        <v>1</v>
      </c>
      <c r="P17" s="1" t="s">
        <v>1033</v>
      </c>
      <c r="Q17" s="1">
        <f t="shared" si="1"/>
        <v>1034473</v>
      </c>
      <c r="R17" s="1" t="s">
        <v>1034</v>
      </c>
      <c r="S17" s="1">
        <f t="shared" si="2"/>
        <v>-6835</v>
      </c>
      <c r="T17" s="1">
        <v>-757752</v>
      </c>
      <c r="U17" s="1">
        <v>-1414069</v>
      </c>
      <c r="V17" s="1">
        <v>-216717</v>
      </c>
      <c r="W17" s="1" t="s">
        <v>1035</v>
      </c>
      <c r="X17" s="1">
        <f t="shared" si="3"/>
        <v>-1864011</v>
      </c>
      <c r="Y17" s="1" t="s">
        <v>1036</v>
      </c>
      <c r="Z17" s="1">
        <f t="shared" si="4"/>
        <v>-939461</v>
      </c>
      <c r="AA17" s="1">
        <v>-5198845</v>
      </c>
      <c r="AB17" s="1" t="s">
        <v>1037</v>
      </c>
      <c r="AC17" s="1">
        <f t="shared" si="5"/>
        <v>497663</v>
      </c>
      <c r="AD17" s="1" t="s">
        <v>1038</v>
      </c>
      <c r="AE17" s="1">
        <f t="shared" si="6"/>
        <v>625714</v>
      </c>
    </row>
    <row r="18" spans="1:31" x14ac:dyDescent="0.35">
      <c r="A18" s="1" t="s">
        <v>1039</v>
      </c>
      <c r="B18" s="1" t="s">
        <v>1040</v>
      </c>
      <c r="C18" s="1" t="s">
        <v>97</v>
      </c>
      <c r="D18" s="1">
        <v>14</v>
      </c>
      <c r="E18" s="2" t="s">
        <v>28</v>
      </c>
      <c r="F18" s="1">
        <f t="shared" si="0"/>
        <v>0</v>
      </c>
      <c r="G18" s="1">
        <v>5283</v>
      </c>
      <c r="H18" s="1">
        <v>10434000</v>
      </c>
      <c r="I18" s="1">
        <v>3359000</v>
      </c>
      <c r="J18" s="1">
        <v>0</v>
      </c>
      <c r="K18" s="1">
        <v>15598146</v>
      </c>
      <c r="L18" s="1">
        <v>0</v>
      </c>
      <c r="M18" s="1">
        <v>29191146</v>
      </c>
      <c r="N18" s="1">
        <v>200000</v>
      </c>
      <c r="O18" s="1">
        <v>3</v>
      </c>
      <c r="P18" s="1" t="s">
        <v>1041</v>
      </c>
      <c r="Q18" s="1">
        <f t="shared" si="1"/>
        <v>2080000</v>
      </c>
      <c r="R18" s="1" t="s">
        <v>1042</v>
      </c>
      <c r="S18" s="1">
        <f t="shared" si="2"/>
        <v>-200476</v>
      </c>
      <c r="T18" s="1">
        <v>-1696698</v>
      </c>
      <c r="U18" s="1">
        <v>-441753</v>
      </c>
      <c r="V18" s="1">
        <v>0</v>
      </c>
      <c r="W18" s="1" t="s">
        <v>1043</v>
      </c>
      <c r="X18" s="1">
        <f t="shared" si="3"/>
        <v>-432669</v>
      </c>
      <c r="Y18" s="1" t="s">
        <v>1044</v>
      </c>
      <c r="Z18" s="1">
        <f t="shared" si="4"/>
        <v>-839684</v>
      </c>
      <c r="AA18" s="1">
        <v>-3611280</v>
      </c>
      <c r="AB18" s="1" t="s">
        <v>1045</v>
      </c>
      <c r="AC18" s="1">
        <f t="shared" si="5"/>
        <v>3380886</v>
      </c>
      <c r="AD18" s="1" t="s">
        <v>1046</v>
      </c>
      <c r="AE18" s="1">
        <f t="shared" si="6"/>
        <v>259420</v>
      </c>
    </row>
    <row r="19" spans="1:31" x14ac:dyDescent="0.35">
      <c r="A19" s="1" t="s">
        <v>1064</v>
      </c>
      <c r="B19" s="1" t="s">
        <v>1065</v>
      </c>
      <c r="C19" s="1" t="s">
        <v>97</v>
      </c>
      <c r="D19" s="1">
        <v>50</v>
      </c>
      <c r="E19" s="2" t="s">
        <v>28</v>
      </c>
      <c r="F19" s="1">
        <f t="shared" si="0"/>
        <v>0</v>
      </c>
      <c r="G19" s="1">
        <v>650</v>
      </c>
      <c r="H19" s="1">
        <v>8832</v>
      </c>
      <c r="I19" s="1">
        <v>5603328</v>
      </c>
      <c r="J19" s="1">
        <v>1305374</v>
      </c>
      <c r="K19" s="1">
        <v>2765656</v>
      </c>
      <c r="L19" s="1">
        <v>0</v>
      </c>
      <c r="M19" s="1">
        <v>9683190</v>
      </c>
      <c r="N19" s="1">
        <v>0</v>
      </c>
      <c r="O19" s="1">
        <v>1</v>
      </c>
      <c r="P19" s="1" t="s">
        <v>1066</v>
      </c>
      <c r="Q19" s="1">
        <f t="shared" si="1"/>
        <v>67330</v>
      </c>
      <c r="R19" s="1" t="s">
        <v>56</v>
      </c>
      <c r="S19" s="1">
        <f t="shared" si="2"/>
        <v>0</v>
      </c>
      <c r="T19" s="1">
        <v>0</v>
      </c>
      <c r="U19" s="1">
        <v>0</v>
      </c>
      <c r="V19" s="1">
        <v>0</v>
      </c>
      <c r="W19" s="1" t="s">
        <v>56</v>
      </c>
      <c r="X19" s="1">
        <f t="shared" si="3"/>
        <v>0</v>
      </c>
      <c r="Y19" s="1" t="s">
        <v>56</v>
      </c>
      <c r="Z19" s="1">
        <f t="shared" si="4"/>
        <v>0</v>
      </c>
      <c r="AA19" s="1">
        <v>0</v>
      </c>
      <c r="AB19" s="1" t="s">
        <v>56</v>
      </c>
      <c r="AC19" s="1">
        <f t="shared" si="5"/>
        <v>0</v>
      </c>
      <c r="AD19" s="1" t="s">
        <v>56</v>
      </c>
      <c r="AE19" s="1">
        <f t="shared" si="6"/>
        <v>0</v>
      </c>
    </row>
    <row r="20" spans="1:31" x14ac:dyDescent="0.35">
      <c r="A20" s="1" t="s">
        <v>1229</v>
      </c>
      <c r="B20" s="1" t="s">
        <v>1230</v>
      </c>
      <c r="C20" s="1" t="s">
        <v>97</v>
      </c>
      <c r="D20" s="1">
        <v>45</v>
      </c>
      <c r="E20" s="2" t="s">
        <v>1231</v>
      </c>
      <c r="F20" s="1">
        <f t="shared" si="0"/>
        <v>22953</v>
      </c>
      <c r="G20" s="1">
        <v>1875</v>
      </c>
      <c r="H20" s="1">
        <v>27992000</v>
      </c>
      <c r="I20" s="1">
        <v>806000</v>
      </c>
      <c r="J20" s="1">
        <v>2188000</v>
      </c>
      <c r="K20" s="1">
        <v>144000</v>
      </c>
      <c r="L20" s="1">
        <v>0</v>
      </c>
      <c r="M20" s="1">
        <v>24356000</v>
      </c>
      <c r="N20" s="1">
        <v>6774000</v>
      </c>
      <c r="O20" s="1">
        <v>1</v>
      </c>
      <c r="P20" s="1" t="s">
        <v>1232</v>
      </c>
      <c r="Q20" s="1">
        <f t="shared" si="1"/>
        <v>346000</v>
      </c>
      <c r="R20" s="1" t="s">
        <v>1233</v>
      </c>
      <c r="S20" s="1">
        <f t="shared" si="2"/>
        <v>-2305</v>
      </c>
      <c r="T20" s="1">
        <v>-256021</v>
      </c>
      <c r="U20" s="1">
        <v>0</v>
      </c>
      <c r="V20" s="1">
        <v>0</v>
      </c>
      <c r="W20" s="1" t="s">
        <v>1234</v>
      </c>
      <c r="X20" s="1">
        <f t="shared" si="3"/>
        <v>-155229</v>
      </c>
      <c r="Y20" s="1" t="s">
        <v>56</v>
      </c>
      <c r="Z20" s="1">
        <f t="shared" si="4"/>
        <v>0</v>
      </c>
      <c r="AA20" s="1">
        <v>-413555</v>
      </c>
      <c r="AB20" s="1" t="s">
        <v>1235</v>
      </c>
      <c r="AC20" s="1">
        <f t="shared" si="5"/>
        <v>497</v>
      </c>
      <c r="AD20" s="1" t="s">
        <v>1236</v>
      </c>
      <c r="AE20" s="1">
        <f t="shared" si="6"/>
        <v>13698</v>
      </c>
    </row>
    <row r="21" spans="1:31" x14ac:dyDescent="0.35">
      <c r="A21" s="1" t="s">
        <v>1237</v>
      </c>
      <c r="B21" s="1" t="s">
        <v>1238</v>
      </c>
      <c r="C21" s="1" t="s">
        <v>97</v>
      </c>
      <c r="D21" s="1">
        <v>34</v>
      </c>
      <c r="E21" s="2" t="s">
        <v>28</v>
      </c>
      <c r="F21" s="1">
        <f t="shared" si="0"/>
        <v>0</v>
      </c>
      <c r="G21" s="1">
        <v>0</v>
      </c>
      <c r="H21" s="1">
        <v>0</v>
      </c>
      <c r="I21" s="1">
        <v>524689</v>
      </c>
      <c r="J21" s="1">
        <v>513604</v>
      </c>
      <c r="K21" s="1">
        <v>0</v>
      </c>
      <c r="L21" s="1">
        <v>0</v>
      </c>
      <c r="M21" s="1">
        <v>1038293</v>
      </c>
      <c r="N21" s="1">
        <v>0</v>
      </c>
      <c r="O21" s="1">
        <v>9</v>
      </c>
      <c r="P21" s="1" t="s">
        <v>1239</v>
      </c>
      <c r="Q21" s="1">
        <f t="shared" si="1"/>
        <v>186841</v>
      </c>
      <c r="R21" s="1" t="s">
        <v>56</v>
      </c>
      <c r="S21" s="1">
        <f t="shared" si="2"/>
        <v>0</v>
      </c>
      <c r="T21" s="1">
        <v>0</v>
      </c>
      <c r="U21" s="1">
        <v>0</v>
      </c>
      <c r="V21" s="1">
        <v>0</v>
      </c>
      <c r="W21" s="1" t="s">
        <v>56</v>
      </c>
      <c r="X21" s="1">
        <f t="shared" si="3"/>
        <v>0</v>
      </c>
      <c r="Y21" s="1" t="s">
        <v>56</v>
      </c>
      <c r="Z21" s="1">
        <f t="shared" si="4"/>
        <v>0</v>
      </c>
      <c r="AA21" s="1">
        <v>0</v>
      </c>
      <c r="AB21" s="1" t="s">
        <v>56</v>
      </c>
      <c r="AC21" s="1">
        <f t="shared" si="5"/>
        <v>0</v>
      </c>
      <c r="AD21" s="1" t="s">
        <v>1240</v>
      </c>
      <c r="AE21" s="1">
        <f t="shared" si="6"/>
        <v>41000</v>
      </c>
    </row>
    <row r="22" spans="1:31" x14ac:dyDescent="0.35">
      <c r="A22" s="1" t="s">
        <v>1264</v>
      </c>
      <c r="B22" s="1" t="s">
        <v>1265</v>
      </c>
      <c r="C22" s="1" t="s">
        <v>97</v>
      </c>
      <c r="D22" s="1">
        <v>139</v>
      </c>
      <c r="E22" s="2" t="s">
        <v>28</v>
      </c>
      <c r="F22" s="1">
        <f t="shared" si="0"/>
        <v>0</v>
      </c>
      <c r="G22" s="1">
        <v>8881</v>
      </c>
      <c r="H22" s="1">
        <v>1362798</v>
      </c>
      <c r="I22" s="1">
        <v>3373489</v>
      </c>
      <c r="J22" s="1">
        <v>387786</v>
      </c>
      <c r="K22" s="1">
        <v>943500</v>
      </c>
      <c r="L22" s="1">
        <v>0</v>
      </c>
      <c r="M22" s="1">
        <v>6067573</v>
      </c>
      <c r="N22" s="1">
        <v>0</v>
      </c>
      <c r="O22" s="1">
        <v>26</v>
      </c>
      <c r="P22" s="1" t="s">
        <v>1266</v>
      </c>
      <c r="Q22" s="1">
        <f t="shared" si="1"/>
        <v>1182000</v>
      </c>
      <c r="R22" s="1" t="s">
        <v>28</v>
      </c>
      <c r="S22" s="1">
        <f t="shared" si="2"/>
        <v>0</v>
      </c>
      <c r="T22" s="1">
        <v>87809</v>
      </c>
      <c r="U22" s="1">
        <v>0</v>
      </c>
      <c r="V22" s="1">
        <v>0</v>
      </c>
      <c r="W22" s="1" t="s">
        <v>28</v>
      </c>
      <c r="X22" s="1">
        <f t="shared" si="3"/>
        <v>0</v>
      </c>
      <c r="Y22" s="1" t="s">
        <v>28</v>
      </c>
      <c r="Z22" s="1">
        <f t="shared" si="4"/>
        <v>0</v>
      </c>
      <c r="AA22" s="1">
        <v>87809</v>
      </c>
      <c r="AB22" s="1" t="s">
        <v>28</v>
      </c>
      <c r="AC22" s="1">
        <f t="shared" si="5"/>
        <v>0</v>
      </c>
      <c r="AD22" s="1" t="s">
        <v>28</v>
      </c>
      <c r="AE22" s="1">
        <f t="shared" si="6"/>
        <v>0</v>
      </c>
    </row>
    <row r="23" spans="1:31" x14ac:dyDescent="0.35">
      <c r="A23" s="1" t="s">
        <v>1294</v>
      </c>
      <c r="B23" s="1" t="s">
        <v>1295</v>
      </c>
      <c r="C23" s="1" t="s">
        <v>97</v>
      </c>
      <c r="D23" s="1">
        <v>62</v>
      </c>
      <c r="E23" s="2" t="s">
        <v>28</v>
      </c>
      <c r="F23" s="1">
        <f t="shared" si="0"/>
        <v>0</v>
      </c>
      <c r="G23" s="1">
        <v>0</v>
      </c>
      <c r="H23" s="1">
        <v>5660760</v>
      </c>
      <c r="I23" s="1">
        <v>18124203</v>
      </c>
      <c r="J23" s="1">
        <v>0</v>
      </c>
      <c r="K23" s="1">
        <v>0</v>
      </c>
      <c r="L23" s="1">
        <v>0</v>
      </c>
      <c r="M23" s="1">
        <v>23784963</v>
      </c>
      <c r="N23" s="1">
        <v>0</v>
      </c>
      <c r="O23" s="1">
        <v>0</v>
      </c>
      <c r="P23" s="1" t="s">
        <v>28</v>
      </c>
      <c r="Q23" s="1">
        <f t="shared" si="1"/>
        <v>0</v>
      </c>
      <c r="R23" s="1" t="s">
        <v>56</v>
      </c>
      <c r="S23" s="1">
        <f t="shared" si="2"/>
        <v>0</v>
      </c>
      <c r="T23" s="1">
        <v>0</v>
      </c>
      <c r="U23" s="1">
        <v>0</v>
      </c>
      <c r="V23" s="1">
        <v>0</v>
      </c>
      <c r="W23" s="1" t="s">
        <v>56</v>
      </c>
      <c r="X23" s="1">
        <f t="shared" si="3"/>
        <v>0</v>
      </c>
      <c r="Y23" s="1" t="s">
        <v>56</v>
      </c>
      <c r="Z23" s="1">
        <f t="shared" si="4"/>
        <v>0</v>
      </c>
      <c r="AA23" s="1">
        <v>0</v>
      </c>
      <c r="AB23" s="1" t="s">
        <v>1296</v>
      </c>
      <c r="AC23" s="1">
        <f t="shared" si="5"/>
        <v>16019</v>
      </c>
      <c r="AD23" s="1" t="s">
        <v>1297</v>
      </c>
      <c r="AE23" s="1">
        <f t="shared" si="6"/>
        <v>140990</v>
      </c>
    </row>
    <row r="24" spans="1:31" x14ac:dyDescent="0.35">
      <c r="A24" s="1" t="s">
        <v>79</v>
      </c>
      <c r="B24" s="1" t="s">
        <v>80</v>
      </c>
      <c r="C24" s="1" t="s">
        <v>81</v>
      </c>
      <c r="D24" s="1">
        <v>33</v>
      </c>
      <c r="E24" s="2" t="s">
        <v>82</v>
      </c>
      <c r="F24" s="1">
        <f t="shared" si="0"/>
        <v>64610</v>
      </c>
      <c r="G24" s="1">
        <v>25823</v>
      </c>
      <c r="H24" s="1">
        <v>42164000</v>
      </c>
      <c r="I24" s="1">
        <v>9809000</v>
      </c>
      <c r="J24" s="1">
        <v>12649000</v>
      </c>
      <c r="K24" s="1">
        <v>33000000</v>
      </c>
      <c r="L24" s="1">
        <v>0</v>
      </c>
      <c r="M24" s="1">
        <v>93304000</v>
      </c>
      <c r="N24" s="1">
        <v>4318000</v>
      </c>
      <c r="O24" s="1">
        <v>0</v>
      </c>
      <c r="P24" s="1" t="s">
        <v>28</v>
      </c>
      <c r="Q24" s="1">
        <f t="shared" si="1"/>
        <v>0</v>
      </c>
      <c r="R24" s="1" t="s">
        <v>83</v>
      </c>
      <c r="S24" s="1">
        <f t="shared" si="2"/>
        <v>-1319001</v>
      </c>
      <c r="T24" s="1">
        <v>-4915579</v>
      </c>
      <c r="U24" s="1">
        <v>-7550422</v>
      </c>
      <c r="V24" s="1">
        <v>0</v>
      </c>
      <c r="W24" s="1" t="s">
        <v>56</v>
      </c>
      <c r="X24" s="1">
        <f t="shared" si="3"/>
        <v>0</v>
      </c>
      <c r="Y24" s="1" t="s">
        <v>56</v>
      </c>
      <c r="Z24" s="1">
        <f t="shared" si="4"/>
        <v>0</v>
      </c>
      <c r="AA24" s="1">
        <v>-13785002</v>
      </c>
      <c r="AB24" s="1" t="s">
        <v>84</v>
      </c>
      <c r="AC24" s="1">
        <f t="shared" si="5"/>
        <v>5653431</v>
      </c>
      <c r="AD24" s="1" t="s">
        <v>85</v>
      </c>
      <c r="AE24" s="1">
        <f t="shared" si="6"/>
        <v>3011887</v>
      </c>
    </row>
    <row r="25" spans="1:31" x14ac:dyDescent="0.35">
      <c r="A25" s="1" t="s">
        <v>86</v>
      </c>
      <c r="B25" s="1" t="s">
        <v>87</v>
      </c>
      <c r="C25" s="1" t="s">
        <v>81</v>
      </c>
      <c r="D25" s="1">
        <v>14</v>
      </c>
      <c r="E25" s="2" t="s">
        <v>88</v>
      </c>
      <c r="F25" s="1">
        <f t="shared" si="0"/>
        <v>7294</v>
      </c>
      <c r="G25" s="1">
        <v>79350</v>
      </c>
      <c r="H25" s="1">
        <v>61779358</v>
      </c>
      <c r="I25" s="1">
        <v>8646493</v>
      </c>
      <c r="J25" s="1">
        <v>3743873</v>
      </c>
      <c r="K25" s="1">
        <v>3188263</v>
      </c>
      <c r="L25" s="1">
        <v>2438194</v>
      </c>
      <c r="M25" s="1">
        <v>74878793</v>
      </c>
      <c r="N25" s="1">
        <v>41000</v>
      </c>
      <c r="O25" s="1">
        <v>1</v>
      </c>
      <c r="P25" s="1" t="s">
        <v>89</v>
      </c>
      <c r="Q25" s="1">
        <f t="shared" si="1"/>
        <v>739028</v>
      </c>
      <c r="R25" s="1" t="s">
        <v>90</v>
      </c>
      <c r="S25" s="1">
        <f t="shared" si="2"/>
        <v>-243615</v>
      </c>
      <c r="T25" s="1">
        <v>0</v>
      </c>
      <c r="U25" s="1">
        <v>0</v>
      </c>
      <c r="V25" s="1">
        <v>0</v>
      </c>
      <c r="W25" s="1" t="s">
        <v>91</v>
      </c>
      <c r="X25" s="1">
        <f t="shared" si="3"/>
        <v>-1932366</v>
      </c>
      <c r="Y25" s="1" t="s">
        <v>92</v>
      </c>
      <c r="Z25" s="1">
        <f t="shared" si="4"/>
        <v>-691662</v>
      </c>
      <c r="AA25" s="1">
        <v>-2867643</v>
      </c>
      <c r="AB25" s="1" t="s">
        <v>93</v>
      </c>
      <c r="AC25" s="1">
        <f t="shared" si="5"/>
        <v>2404796</v>
      </c>
      <c r="AD25" s="1" t="s">
        <v>94</v>
      </c>
      <c r="AE25" s="1">
        <f t="shared" si="6"/>
        <v>795716</v>
      </c>
    </row>
    <row r="26" spans="1:31" x14ac:dyDescent="0.35">
      <c r="A26" s="1" t="s">
        <v>141</v>
      </c>
      <c r="B26" s="1" t="s">
        <v>142</v>
      </c>
      <c r="C26" s="1" t="s">
        <v>81</v>
      </c>
      <c r="D26" s="1">
        <v>71</v>
      </c>
      <c r="E26" s="2" t="s">
        <v>143</v>
      </c>
      <c r="F26" s="1">
        <f t="shared" si="0"/>
        <v>10351</v>
      </c>
      <c r="G26" s="1">
        <v>11139</v>
      </c>
      <c r="H26" s="1">
        <v>6067000</v>
      </c>
      <c r="I26" s="1">
        <v>25740000</v>
      </c>
      <c r="J26" s="1">
        <v>0</v>
      </c>
      <c r="K26" s="1">
        <v>26237000</v>
      </c>
      <c r="L26" s="1">
        <v>0</v>
      </c>
      <c r="M26" s="1">
        <v>58044000</v>
      </c>
      <c r="N26" s="1">
        <v>0</v>
      </c>
      <c r="O26" s="1">
        <v>0</v>
      </c>
      <c r="P26" s="1" t="s">
        <v>28</v>
      </c>
      <c r="Q26" s="1">
        <f t="shared" si="1"/>
        <v>0</v>
      </c>
      <c r="R26" s="1" t="s">
        <v>144</v>
      </c>
      <c r="S26" s="1">
        <f t="shared" si="2"/>
        <v>-1344539</v>
      </c>
      <c r="T26" s="1">
        <v>-10569173</v>
      </c>
      <c r="U26" s="1">
        <v>-5781323</v>
      </c>
      <c r="V26" s="1">
        <v>-256031</v>
      </c>
      <c r="W26" s="1" t="s">
        <v>145</v>
      </c>
      <c r="X26" s="1">
        <f t="shared" si="3"/>
        <v>-2330553</v>
      </c>
      <c r="Y26" s="1" t="s">
        <v>146</v>
      </c>
      <c r="Z26" s="1">
        <f t="shared" si="4"/>
        <v>-597992</v>
      </c>
      <c r="AA26" s="1">
        <v>-20879611</v>
      </c>
      <c r="AB26" s="1" t="s">
        <v>147</v>
      </c>
      <c r="AC26" s="1">
        <f t="shared" si="5"/>
        <v>680782</v>
      </c>
      <c r="AD26" s="1" t="s">
        <v>148</v>
      </c>
      <c r="AE26" s="1">
        <f t="shared" si="6"/>
        <v>269025</v>
      </c>
    </row>
    <row r="27" spans="1:31" x14ac:dyDescent="0.35">
      <c r="A27" s="1" t="s">
        <v>149</v>
      </c>
      <c r="B27" s="1" t="s">
        <v>150</v>
      </c>
      <c r="C27" s="1" t="s">
        <v>81</v>
      </c>
      <c r="D27" s="1">
        <v>2</v>
      </c>
      <c r="E27" s="2" t="s">
        <v>28</v>
      </c>
      <c r="F27" s="1">
        <f t="shared" si="0"/>
        <v>0</v>
      </c>
      <c r="G27" s="1">
        <v>0</v>
      </c>
      <c r="H27" s="1">
        <v>7322000</v>
      </c>
      <c r="I27" s="1">
        <v>3280000</v>
      </c>
      <c r="J27" s="1">
        <v>0</v>
      </c>
      <c r="K27" s="1">
        <v>0</v>
      </c>
      <c r="L27" s="1">
        <v>0</v>
      </c>
      <c r="M27" s="1">
        <v>10532000</v>
      </c>
      <c r="N27" s="1">
        <v>70000</v>
      </c>
      <c r="O27" s="1">
        <v>1</v>
      </c>
      <c r="P27" s="1" t="s">
        <v>151</v>
      </c>
      <c r="Q27" s="1">
        <f t="shared" si="1"/>
        <v>350000</v>
      </c>
      <c r="R27" s="1" t="s">
        <v>56</v>
      </c>
      <c r="S27" s="1">
        <f t="shared" si="2"/>
        <v>0</v>
      </c>
      <c r="T27" s="1">
        <v>0</v>
      </c>
      <c r="U27" s="1">
        <v>0</v>
      </c>
      <c r="V27" s="1">
        <v>0</v>
      </c>
      <c r="W27" s="1" t="s">
        <v>56</v>
      </c>
      <c r="X27" s="1">
        <f t="shared" si="3"/>
        <v>0</v>
      </c>
      <c r="Y27" s="1" t="s">
        <v>56</v>
      </c>
      <c r="Z27" s="1">
        <f t="shared" si="4"/>
        <v>0</v>
      </c>
      <c r="AA27" s="1">
        <v>0</v>
      </c>
      <c r="AB27" s="1" t="s">
        <v>152</v>
      </c>
      <c r="AC27" s="1">
        <f t="shared" si="5"/>
        <v>256927</v>
      </c>
      <c r="AD27" s="1" t="s">
        <v>153</v>
      </c>
      <c r="AE27" s="1">
        <f t="shared" si="6"/>
        <v>72951</v>
      </c>
    </row>
    <row r="28" spans="1:31" x14ac:dyDescent="0.35">
      <c r="A28" s="1" t="s">
        <v>154</v>
      </c>
      <c r="B28" s="1" t="s">
        <v>155</v>
      </c>
      <c r="C28" s="1" t="s">
        <v>81</v>
      </c>
      <c r="D28" s="1">
        <v>22</v>
      </c>
      <c r="E28" s="2" t="s">
        <v>156</v>
      </c>
      <c r="F28" s="1">
        <f t="shared" si="0"/>
        <v>32430</v>
      </c>
      <c r="G28" s="1">
        <v>480</v>
      </c>
      <c r="H28" s="1">
        <v>0</v>
      </c>
      <c r="I28" s="1">
        <v>6319000</v>
      </c>
      <c r="J28" s="1">
        <v>1200000</v>
      </c>
      <c r="K28" s="1">
        <v>5712000</v>
      </c>
      <c r="L28" s="1">
        <v>0</v>
      </c>
      <c r="M28" s="1">
        <v>13231000</v>
      </c>
      <c r="N28" s="1">
        <v>0</v>
      </c>
      <c r="O28" s="1">
        <v>0</v>
      </c>
      <c r="P28" s="1" t="s">
        <v>28</v>
      </c>
      <c r="Q28" s="1">
        <f t="shared" si="1"/>
        <v>0</v>
      </c>
      <c r="R28" s="1" t="s">
        <v>56</v>
      </c>
      <c r="S28" s="1">
        <f t="shared" si="2"/>
        <v>0</v>
      </c>
      <c r="T28" s="1">
        <v>-1202403</v>
      </c>
      <c r="U28" s="1">
        <v>-364036</v>
      </c>
      <c r="V28" s="1">
        <v>0</v>
      </c>
      <c r="W28" s="1" t="s">
        <v>157</v>
      </c>
      <c r="X28" s="1">
        <f t="shared" si="3"/>
        <v>-991638</v>
      </c>
      <c r="Y28" s="1" t="s">
        <v>158</v>
      </c>
      <c r="Z28" s="1">
        <f t="shared" si="4"/>
        <v>-171251</v>
      </c>
      <c r="AA28" s="1">
        <v>-2729328</v>
      </c>
      <c r="AB28" s="1" t="s">
        <v>159</v>
      </c>
      <c r="AC28" s="1">
        <f t="shared" si="5"/>
        <v>1645496</v>
      </c>
      <c r="AD28" s="1" t="s">
        <v>160</v>
      </c>
      <c r="AE28" s="1">
        <f t="shared" si="6"/>
        <v>349097</v>
      </c>
    </row>
    <row r="29" spans="1:31" x14ac:dyDescent="0.35">
      <c r="A29" s="1" t="s">
        <v>161</v>
      </c>
      <c r="B29" s="1" t="s">
        <v>162</v>
      </c>
      <c r="C29" s="1" t="s">
        <v>81</v>
      </c>
      <c r="D29" s="1">
        <v>2</v>
      </c>
      <c r="E29" s="2" t="s">
        <v>163</v>
      </c>
      <c r="F29" s="1">
        <f t="shared" si="0"/>
        <v>15000</v>
      </c>
      <c r="G29" s="1">
        <v>3675</v>
      </c>
      <c r="H29" s="1">
        <v>6473794</v>
      </c>
      <c r="I29" s="1">
        <v>4268631</v>
      </c>
      <c r="J29" s="1">
        <v>3803778</v>
      </c>
      <c r="K29" s="1">
        <v>0</v>
      </c>
      <c r="L29" s="1">
        <v>0</v>
      </c>
      <c r="M29" s="1">
        <v>14546203</v>
      </c>
      <c r="N29" s="1">
        <v>0</v>
      </c>
      <c r="O29" s="1">
        <v>0</v>
      </c>
      <c r="P29" s="1" t="s">
        <v>28</v>
      </c>
      <c r="Q29" s="1">
        <f t="shared" si="1"/>
        <v>0</v>
      </c>
      <c r="R29" s="1" t="s">
        <v>56</v>
      </c>
      <c r="S29" s="1">
        <f t="shared" si="2"/>
        <v>0</v>
      </c>
      <c r="T29" s="1">
        <v>0</v>
      </c>
      <c r="U29" s="1">
        <v>0</v>
      </c>
      <c r="V29" s="1">
        <v>0</v>
      </c>
      <c r="W29" s="1" t="s">
        <v>164</v>
      </c>
      <c r="X29" s="1">
        <f t="shared" si="3"/>
        <v>-1217063</v>
      </c>
      <c r="Y29" s="1" t="s">
        <v>165</v>
      </c>
      <c r="Z29" s="1">
        <f t="shared" si="4"/>
        <v>-849571</v>
      </c>
      <c r="AA29" s="1">
        <v>-2066634</v>
      </c>
      <c r="AB29" s="1" t="s">
        <v>166</v>
      </c>
      <c r="AC29" s="1">
        <f t="shared" si="5"/>
        <v>623320</v>
      </c>
      <c r="AD29" s="1" t="s">
        <v>167</v>
      </c>
      <c r="AE29" s="1">
        <f t="shared" si="6"/>
        <v>461956</v>
      </c>
    </row>
    <row r="30" spans="1:31" x14ac:dyDescent="0.35">
      <c r="A30" s="1" t="s">
        <v>168</v>
      </c>
      <c r="B30" s="1" t="s">
        <v>169</v>
      </c>
      <c r="C30" s="1" t="s">
        <v>81</v>
      </c>
      <c r="D30" s="1">
        <v>187</v>
      </c>
      <c r="E30" s="2" t="s">
        <v>28</v>
      </c>
      <c r="F30" s="1">
        <f t="shared" si="0"/>
        <v>0</v>
      </c>
      <c r="G30" s="1">
        <v>784</v>
      </c>
      <c r="H30" s="1">
        <v>22047272</v>
      </c>
      <c r="I30" s="1">
        <v>247323</v>
      </c>
      <c r="J30" s="1">
        <v>1659758</v>
      </c>
      <c r="K30" s="1">
        <v>0</v>
      </c>
      <c r="L30" s="1">
        <v>0</v>
      </c>
      <c r="M30" s="1">
        <v>23954353</v>
      </c>
      <c r="N30" s="1">
        <v>0</v>
      </c>
      <c r="O30" s="1">
        <v>0</v>
      </c>
      <c r="P30" s="1" t="s">
        <v>28</v>
      </c>
      <c r="Q30" s="1">
        <f t="shared" si="1"/>
        <v>0</v>
      </c>
      <c r="R30" s="1" t="s">
        <v>56</v>
      </c>
      <c r="S30" s="1">
        <f t="shared" si="2"/>
        <v>0</v>
      </c>
      <c r="T30" s="1">
        <v>0</v>
      </c>
      <c r="U30" s="1">
        <v>0</v>
      </c>
      <c r="V30" s="1">
        <v>0</v>
      </c>
      <c r="W30" s="1" t="s">
        <v>56</v>
      </c>
      <c r="X30" s="1">
        <f t="shared" si="3"/>
        <v>0</v>
      </c>
      <c r="Y30" s="1" t="s">
        <v>56</v>
      </c>
      <c r="Z30" s="1">
        <f t="shared" si="4"/>
        <v>0</v>
      </c>
      <c r="AA30" s="1">
        <v>0</v>
      </c>
      <c r="AB30" s="1" t="s">
        <v>170</v>
      </c>
      <c r="AC30" s="1">
        <f t="shared" si="5"/>
        <v>12168</v>
      </c>
      <c r="AD30" s="1" t="s">
        <v>171</v>
      </c>
      <c r="AE30" s="1">
        <f t="shared" si="6"/>
        <v>71288</v>
      </c>
    </row>
    <row r="31" spans="1:31" x14ac:dyDescent="0.35">
      <c r="A31" s="1" t="s">
        <v>172</v>
      </c>
      <c r="B31" s="1" t="s">
        <v>173</v>
      </c>
      <c r="C31" s="1" t="s">
        <v>81</v>
      </c>
      <c r="D31" s="1">
        <v>12</v>
      </c>
      <c r="E31" s="2" t="s">
        <v>28</v>
      </c>
      <c r="F31" s="1">
        <f t="shared" si="0"/>
        <v>0</v>
      </c>
      <c r="G31" s="1">
        <v>10473</v>
      </c>
      <c r="H31" s="1">
        <v>11498000</v>
      </c>
      <c r="I31" s="1">
        <v>11616000</v>
      </c>
      <c r="J31" s="1">
        <v>0</v>
      </c>
      <c r="K31" s="1">
        <v>4521000</v>
      </c>
      <c r="L31" s="1">
        <v>0</v>
      </c>
      <c r="M31" s="1">
        <v>23680258</v>
      </c>
      <c r="N31" s="1">
        <v>3954742</v>
      </c>
      <c r="O31" s="1">
        <v>1</v>
      </c>
      <c r="P31" s="1" t="s">
        <v>174</v>
      </c>
      <c r="Q31" s="1">
        <f t="shared" si="1"/>
        <v>2653000</v>
      </c>
      <c r="R31" s="1" t="s">
        <v>175</v>
      </c>
      <c r="S31" s="1">
        <f t="shared" si="2"/>
        <v>-168808</v>
      </c>
      <c r="T31" s="1">
        <v>-254888</v>
      </c>
      <c r="U31" s="1">
        <v>-1042461</v>
      </c>
      <c r="V31" s="1">
        <v>0</v>
      </c>
      <c r="W31" s="1" t="s">
        <v>176</v>
      </c>
      <c r="X31" s="1">
        <f t="shared" si="3"/>
        <v>-1137184</v>
      </c>
      <c r="Y31" s="1" t="s">
        <v>177</v>
      </c>
      <c r="Z31" s="1">
        <f t="shared" si="4"/>
        <v>-121452</v>
      </c>
      <c r="AA31" s="1">
        <v>-2724793</v>
      </c>
      <c r="AB31" s="1" t="s">
        <v>178</v>
      </c>
      <c r="AC31" s="1">
        <f t="shared" si="5"/>
        <v>2416221</v>
      </c>
      <c r="AD31" s="1" t="s">
        <v>179</v>
      </c>
      <c r="AE31" s="1">
        <f t="shared" si="6"/>
        <v>206922</v>
      </c>
    </row>
    <row r="32" spans="1:31" x14ac:dyDescent="0.35">
      <c r="A32" s="1" t="s">
        <v>353</v>
      </c>
      <c r="B32" s="1" t="s">
        <v>354</v>
      </c>
      <c r="C32" s="1" t="s">
        <v>81</v>
      </c>
      <c r="D32" s="1">
        <v>20</v>
      </c>
      <c r="E32" s="2" t="s">
        <v>355</v>
      </c>
      <c r="F32" s="1">
        <f t="shared" si="0"/>
        <v>6237</v>
      </c>
      <c r="G32" s="1">
        <v>4882</v>
      </c>
      <c r="H32" s="1">
        <v>15942521</v>
      </c>
      <c r="I32" s="1">
        <v>5778852</v>
      </c>
      <c r="J32" s="1">
        <v>2959369</v>
      </c>
      <c r="K32" s="1">
        <v>3925718</v>
      </c>
      <c r="L32" s="1">
        <v>0</v>
      </c>
      <c r="M32" s="1">
        <v>28532460</v>
      </c>
      <c r="N32" s="1">
        <v>74000</v>
      </c>
      <c r="O32" s="1">
        <v>1</v>
      </c>
      <c r="P32" s="1" t="s">
        <v>356</v>
      </c>
      <c r="Q32" s="1">
        <f t="shared" si="1"/>
        <v>46000</v>
      </c>
      <c r="R32" s="1" t="s">
        <v>56</v>
      </c>
      <c r="S32" s="1">
        <f t="shared" si="2"/>
        <v>0</v>
      </c>
      <c r="T32" s="1">
        <v>-36521</v>
      </c>
      <c r="U32" s="1">
        <v>0</v>
      </c>
      <c r="V32" s="1">
        <v>0</v>
      </c>
      <c r="W32" s="1" t="s">
        <v>357</v>
      </c>
      <c r="X32" s="1">
        <f t="shared" si="3"/>
        <v>-1899808</v>
      </c>
      <c r="Y32" s="1" t="s">
        <v>358</v>
      </c>
      <c r="Z32" s="1">
        <f t="shared" si="4"/>
        <v>-1005151</v>
      </c>
      <c r="AA32" s="1">
        <v>-2941480</v>
      </c>
      <c r="AB32" s="1" t="s">
        <v>359</v>
      </c>
      <c r="AC32" s="1">
        <f t="shared" si="5"/>
        <v>1744946</v>
      </c>
      <c r="AD32" s="1" t="s">
        <v>360</v>
      </c>
      <c r="AE32" s="1">
        <f t="shared" si="6"/>
        <v>226800</v>
      </c>
    </row>
    <row r="33" spans="1:31" x14ac:dyDescent="0.35">
      <c r="A33" s="1" t="s">
        <v>471</v>
      </c>
      <c r="B33" s="1" t="s">
        <v>472</v>
      </c>
      <c r="C33" s="1" t="s">
        <v>81</v>
      </c>
      <c r="D33" s="1">
        <v>47</v>
      </c>
      <c r="E33" s="2" t="s">
        <v>473</v>
      </c>
      <c r="F33" s="1">
        <f t="shared" si="0"/>
        <v>6000</v>
      </c>
      <c r="G33" s="1">
        <v>14820</v>
      </c>
      <c r="H33" s="1">
        <v>9030990</v>
      </c>
      <c r="I33" s="1">
        <v>25820565</v>
      </c>
      <c r="J33" s="1">
        <v>9912780</v>
      </c>
      <c r="K33" s="1">
        <v>4070034</v>
      </c>
      <c r="L33" s="1">
        <v>0</v>
      </c>
      <c r="M33" s="1">
        <v>46651379</v>
      </c>
      <c r="N33" s="1">
        <v>2182990</v>
      </c>
      <c r="O33" s="1">
        <v>0</v>
      </c>
      <c r="P33" s="1" t="s">
        <v>28</v>
      </c>
      <c r="Q33" s="1">
        <f t="shared" si="1"/>
        <v>0</v>
      </c>
      <c r="R33" s="1" t="s">
        <v>474</v>
      </c>
      <c r="S33" s="1">
        <f t="shared" si="2"/>
        <v>-1236841</v>
      </c>
      <c r="T33" s="1">
        <v>-2518006</v>
      </c>
      <c r="U33" s="1">
        <v>-578114</v>
      </c>
      <c r="V33" s="1">
        <v>0</v>
      </c>
      <c r="W33" s="1" t="s">
        <v>475</v>
      </c>
      <c r="X33" s="1">
        <f t="shared" si="3"/>
        <v>-796164</v>
      </c>
      <c r="Y33" s="1" t="s">
        <v>476</v>
      </c>
      <c r="Z33" s="1">
        <f t="shared" si="4"/>
        <v>-70689</v>
      </c>
      <c r="AA33" s="1">
        <v>-5199814</v>
      </c>
      <c r="AB33" s="1" t="s">
        <v>477</v>
      </c>
      <c r="AC33" s="1">
        <f t="shared" si="5"/>
        <v>2340549</v>
      </c>
      <c r="AD33" s="1" t="s">
        <v>478</v>
      </c>
      <c r="AE33" s="1">
        <f t="shared" si="6"/>
        <v>403197</v>
      </c>
    </row>
    <row r="34" spans="1:31" x14ac:dyDescent="0.35">
      <c r="A34" s="1" t="s">
        <v>479</v>
      </c>
      <c r="B34" s="1" t="s">
        <v>480</v>
      </c>
      <c r="C34" s="1" t="s">
        <v>81</v>
      </c>
      <c r="D34" s="1">
        <v>15</v>
      </c>
      <c r="E34" s="2" t="s">
        <v>28</v>
      </c>
      <c r="F34" s="1">
        <f t="shared" si="0"/>
        <v>0</v>
      </c>
      <c r="G34" s="1">
        <v>0</v>
      </c>
      <c r="H34" s="1">
        <v>0</v>
      </c>
      <c r="I34" s="1">
        <v>42666920</v>
      </c>
      <c r="J34" s="1">
        <v>0</v>
      </c>
      <c r="K34" s="1">
        <v>0</v>
      </c>
      <c r="L34" s="1">
        <v>0</v>
      </c>
      <c r="M34" s="1">
        <v>42666920</v>
      </c>
      <c r="N34" s="1">
        <v>0</v>
      </c>
      <c r="O34" s="1">
        <v>1</v>
      </c>
      <c r="P34" s="1" t="s">
        <v>481</v>
      </c>
      <c r="Q34" s="1">
        <f t="shared" si="1"/>
        <v>2461045</v>
      </c>
      <c r="R34" s="1" t="s">
        <v>482</v>
      </c>
      <c r="S34" s="1">
        <f t="shared" si="2"/>
        <v>-400934</v>
      </c>
      <c r="T34" s="1">
        <v>-207930</v>
      </c>
      <c r="U34" s="1">
        <v>-3545024</v>
      </c>
      <c r="V34" s="1">
        <v>-136152</v>
      </c>
      <c r="W34" s="1" t="s">
        <v>483</v>
      </c>
      <c r="X34" s="1">
        <f t="shared" si="3"/>
        <v>-1505753</v>
      </c>
      <c r="Y34" s="1" t="s">
        <v>484</v>
      </c>
      <c r="Z34" s="1">
        <f t="shared" si="4"/>
        <v>-265672</v>
      </c>
      <c r="AA34" s="1">
        <v>-6061465</v>
      </c>
      <c r="AB34" s="1" t="s">
        <v>485</v>
      </c>
      <c r="AC34" s="1">
        <f t="shared" si="5"/>
        <v>2006167</v>
      </c>
      <c r="AD34" s="1" t="s">
        <v>486</v>
      </c>
      <c r="AE34" s="1">
        <f t="shared" si="6"/>
        <v>293000</v>
      </c>
    </row>
    <row r="35" spans="1:31" x14ac:dyDescent="0.35">
      <c r="A35" s="1" t="s">
        <v>487</v>
      </c>
      <c r="B35" s="1" t="s">
        <v>488</v>
      </c>
      <c r="C35" s="1" t="s">
        <v>81</v>
      </c>
      <c r="D35" s="1">
        <v>16</v>
      </c>
      <c r="E35" s="2" t="s">
        <v>28</v>
      </c>
      <c r="F35" s="1">
        <f t="shared" si="0"/>
        <v>0</v>
      </c>
      <c r="G35" s="1">
        <v>0</v>
      </c>
      <c r="H35" s="1">
        <v>5230000</v>
      </c>
      <c r="I35" s="1">
        <v>11071107</v>
      </c>
      <c r="J35" s="1">
        <v>5072707</v>
      </c>
      <c r="K35" s="1">
        <v>8828372</v>
      </c>
      <c r="L35" s="1">
        <v>0</v>
      </c>
      <c r="M35" s="1">
        <v>29253372</v>
      </c>
      <c r="N35" s="1">
        <v>948814</v>
      </c>
      <c r="O35" s="1">
        <v>0</v>
      </c>
      <c r="P35" s="1" t="s">
        <v>28</v>
      </c>
      <c r="Q35" s="1">
        <f t="shared" si="1"/>
        <v>0</v>
      </c>
      <c r="R35" s="1" t="s">
        <v>489</v>
      </c>
      <c r="S35" s="1">
        <f t="shared" si="2"/>
        <v>-170130</v>
      </c>
      <c r="T35" s="1">
        <v>-1581992</v>
      </c>
      <c r="U35" s="1">
        <v>-1029589</v>
      </c>
      <c r="V35" s="1">
        <v>0</v>
      </c>
      <c r="W35" s="1" t="s">
        <v>490</v>
      </c>
      <c r="X35" s="1">
        <f t="shared" si="3"/>
        <v>-1132268</v>
      </c>
      <c r="Y35" s="1" t="s">
        <v>491</v>
      </c>
      <c r="Z35" s="1">
        <f t="shared" si="4"/>
        <v>-190353</v>
      </c>
      <c r="AA35" s="1">
        <v>-4104332</v>
      </c>
      <c r="AB35" s="1" t="s">
        <v>492</v>
      </c>
      <c r="AC35" s="1">
        <f t="shared" si="5"/>
        <v>467899</v>
      </c>
      <c r="AD35" s="1" t="s">
        <v>493</v>
      </c>
      <c r="AE35" s="1">
        <f t="shared" si="6"/>
        <v>216347</v>
      </c>
    </row>
    <row r="36" spans="1:31" x14ac:dyDescent="0.35">
      <c r="A36" s="1" t="s">
        <v>494</v>
      </c>
      <c r="B36" s="1" t="s">
        <v>495</v>
      </c>
      <c r="C36" s="1" t="s">
        <v>81</v>
      </c>
      <c r="D36" s="1">
        <v>35</v>
      </c>
      <c r="E36" s="2" t="s">
        <v>28</v>
      </c>
      <c r="F36" s="1">
        <f t="shared" si="0"/>
        <v>0</v>
      </c>
      <c r="G36" s="1">
        <v>0</v>
      </c>
      <c r="H36" s="1">
        <v>12185718</v>
      </c>
      <c r="I36" s="1">
        <v>4986600</v>
      </c>
      <c r="J36" s="1">
        <v>6395488</v>
      </c>
      <c r="K36" s="1">
        <v>15846092</v>
      </c>
      <c r="L36" s="1">
        <v>0</v>
      </c>
      <c r="M36" s="1">
        <v>38910313</v>
      </c>
      <c r="N36" s="1">
        <v>503585</v>
      </c>
      <c r="O36" s="1">
        <v>0</v>
      </c>
      <c r="P36" s="1" t="s">
        <v>28</v>
      </c>
      <c r="Q36" s="1">
        <f t="shared" si="1"/>
        <v>0</v>
      </c>
      <c r="R36" s="1" t="s">
        <v>496</v>
      </c>
      <c r="S36" s="1">
        <f t="shared" si="2"/>
        <v>-309024</v>
      </c>
      <c r="T36" s="1">
        <v>-2748064</v>
      </c>
      <c r="U36" s="1">
        <v>-1421555</v>
      </c>
      <c r="V36" s="1">
        <v>0</v>
      </c>
      <c r="W36" s="1" t="s">
        <v>497</v>
      </c>
      <c r="X36" s="1">
        <f t="shared" si="3"/>
        <v>-1476451</v>
      </c>
      <c r="Y36" s="1" t="s">
        <v>498</v>
      </c>
      <c r="Z36" s="1">
        <f t="shared" si="4"/>
        <v>-145251</v>
      </c>
      <c r="AA36" s="1">
        <v>-6100345</v>
      </c>
      <c r="AB36" s="1" t="s">
        <v>499</v>
      </c>
      <c r="AC36" s="1">
        <f t="shared" si="5"/>
        <v>2041095</v>
      </c>
      <c r="AD36" s="1" t="s">
        <v>500</v>
      </c>
      <c r="AE36" s="1">
        <f t="shared" si="6"/>
        <v>1020703</v>
      </c>
    </row>
    <row r="37" spans="1:31" x14ac:dyDescent="0.35">
      <c r="A37" s="1" t="s">
        <v>545</v>
      </c>
      <c r="B37" s="1" t="s">
        <v>546</v>
      </c>
      <c r="C37" s="1" t="s">
        <v>81</v>
      </c>
      <c r="D37" s="1">
        <v>29</v>
      </c>
      <c r="E37" s="2" t="s">
        <v>28</v>
      </c>
      <c r="F37" s="1">
        <f t="shared" si="0"/>
        <v>0</v>
      </c>
      <c r="G37" s="1">
        <v>10895</v>
      </c>
      <c r="H37" s="1">
        <v>5994284</v>
      </c>
      <c r="I37" s="1">
        <v>13240353</v>
      </c>
      <c r="J37" s="1">
        <v>12078043</v>
      </c>
      <c r="K37" s="1">
        <v>0</v>
      </c>
      <c r="L37" s="1">
        <v>0</v>
      </c>
      <c r="M37" s="1">
        <v>31262680</v>
      </c>
      <c r="N37" s="1">
        <v>50000</v>
      </c>
      <c r="O37" s="1">
        <v>1</v>
      </c>
      <c r="P37" s="1" t="s">
        <v>547</v>
      </c>
      <c r="Q37" s="1">
        <f t="shared" si="1"/>
        <v>260000</v>
      </c>
      <c r="R37" s="1" t="s">
        <v>548</v>
      </c>
      <c r="S37" s="1">
        <f t="shared" si="2"/>
        <v>-1169320</v>
      </c>
      <c r="T37" s="1">
        <v>-200513</v>
      </c>
      <c r="U37" s="1">
        <v>-773564</v>
      </c>
      <c r="V37" s="1">
        <v>0</v>
      </c>
      <c r="W37" s="1" t="s">
        <v>549</v>
      </c>
      <c r="X37" s="1">
        <f t="shared" si="3"/>
        <v>-879470</v>
      </c>
      <c r="Y37" s="1" t="s">
        <v>550</v>
      </c>
      <c r="Z37" s="1">
        <f t="shared" si="4"/>
        <v>-811001</v>
      </c>
      <c r="AA37" s="1">
        <v>-3833868</v>
      </c>
      <c r="AB37" s="1" t="s">
        <v>551</v>
      </c>
      <c r="AC37" s="1">
        <f t="shared" si="5"/>
        <v>2929104</v>
      </c>
      <c r="AD37" s="1" t="s">
        <v>552</v>
      </c>
      <c r="AE37" s="1">
        <f t="shared" si="6"/>
        <v>1662168</v>
      </c>
    </row>
    <row r="38" spans="1:31" x14ac:dyDescent="0.35">
      <c r="A38" s="1" t="s">
        <v>574</v>
      </c>
      <c r="B38" s="1" t="s">
        <v>575</v>
      </c>
      <c r="C38" s="1" t="s">
        <v>81</v>
      </c>
      <c r="D38" s="1">
        <v>64</v>
      </c>
      <c r="E38" s="2" t="s">
        <v>576</v>
      </c>
      <c r="F38" s="1">
        <f t="shared" si="0"/>
        <v>3500</v>
      </c>
      <c r="G38" s="1">
        <v>0</v>
      </c>
      <c r="H38" s="1">
        <v>2360000</v>
      </c>
      <c r="I38" s="1">
        <v>375000</v>
      </c>
      <c r="J38" s="1">
        <v>2200000</v>
      </c>
      <c r="K38" s="1">
        <v>1350000</v>
      </c>
      <c r="L38" s="1">
        <v>0</v>
      </c>
      <c r="M38" s="1">
        <v>6285000</v>
      </c>
      <c r="N38" s="1">
        <v>0</v>
      </c>
      <c r="O38" s="1">
        <v>3</v>
      </c>
      <c r="P38" s="1" t="s">
        <v>577</v>
      </c>
      <c r="Q38" s="1">
        <f t="shared" si="1"/>
        <v>185000</v>
      </c>
      <c r="R38" s="1" t="s">
        <v>578</v>
      </c>
      <c r="S38" s="1">
        <f t="shared" si="2"/>
        <v>-41200</v>
      </c>
      <c r="T38" s="1">
        <v>0</v>
      </c>
      <c r="U38" s="1">
        <v>0</v>
      </c>
      <c r="V38" s="1">
        <v>0</v>
      </c>
      <c r="W38" s="1" t="s">
        <v>579</v>
      </c>
      <c r="X38" s="1">
        <f t="shared" si="3"/>
        <v>-53700</v>
      </c>
      <c r="Y38" s="1" t="s">
        <v>56</v>
      </c>
      <c r="Z38" s="1">
        <f t="shared" si="4"/>
        <v>0</v>
      </c>
      <c r="AA38" s="1">
        <v>-94900</v>
      </c>
      <c r="AB38" s="1" t="s">
        <v>580</v>
      </c>
      <c r="AC38" s="1">
        <f t="shared" si="5"/>
        <v>765830</v>
      </c>
      <c r="AD38" s="1" t="s">
        <v>581</v>
      </c>
      <c r="AE38" s="1">
        <f t="shared" si="6"/>
        <v>78200</v>
      </c>
    </row>
    <row r="39" spans="1:31" x14ac:dyDescent="0.35">
      <c r="A39" s="1" t="s">
        <v>582</v>
      </c>
      <c r="B39" s="1" t="s">
        <v>583</v>
      </c>
      <c r="C39" s="1" t="s">
        <v>81</v>
      </c>
      <c r="D39" s="1">
        <v>44</v>
      </c>
      <c r="E39" s="2" t="s">
        <v>28</v>
      </c>
      <c r="F39" s="1">
        <f t="shared" si="0"/>
        <v>0</v>
      </c>
      <c r="G39" s="1">
        <v>13532</v>
      </c>
      <c r="H39" s="1">
        <v>8306000</v>
      </c>
      <c r="I39" s="1">
        <v>8373000</v>
      </c>
      <c r="J39" s="1">
        <v>0</v>
      </c>
      <c r="K39" s="1">
        <v>3086000</v>
      </c>
      <c r="L39" s="1">
        <v>0</v>
      </c>
      <c r="M39" s="1">
        <v>19765000</v>
      </c>
      <c r="N39" s="1">
        <v>0</v>
      </c>
      <c r="O39" s="1">
        <v>0</v>
      </c>
      <c r="P39" s="1" t="s">
        <v>28</v>
      </c>
      <c r="Q39" s="1">
        <f t="shared" si="1"/>
        <v>0</v>
      </c>
      <c r="R39" s="1" t="s">
        <v>56</v>
      </c>
      <c r="S39" s="1">
        <f t="shared" si="2"/>
        <v>0</v>
      </c>
      <c r="T39" s="1">
        <v>-105856</v>
      </c>
      <c r="U39" s="1">
        <v>-249653</v>
      </c>
      <c r="V39" s="1">
        <v>-200863</v>
      </c>
      <c r="W39" s="1" t="s">
        <v>584</v>
      </c>
      <c r="X39" s="1">
        <f t="shared" si="3"/>
        <v>-23617</v>
      </c>
      <c r="Y39" s="1" t="s">
        <v>56</v>
      </c>
      <c r="Z39" s="1">
        <f t="shared" si="4"/>
        <v>0</v>
      </c>
      <c r="AA39" s="1">
        <v>-579989</v>
      </c>
      <c r="AB39" s="1" t="s">
        <v>585</v>
      </c>
      <c r="AC39" s="1">
        <f t="shared" si="5"/>
        <v>64366</v>
      </c>
      <c r="AD39" s="1" t="s">
        <v>586</v>
      </c>
      <c r="AE39" s="1">
        <f t="shared" si="6"/>
        <v>114660</v>
      </c>
    </row>
    <row r="40" spans="1:31" x14ac:dyDescent="0.35">
      <c r="A40" s="1" t="s">
        <v>675</v>
      </c>
      <c r="B40" s="1" t="s">
        <v>676</v>
      </c>
      <c r="C40" s="1" t="s">
        <v>81</v>
      </c>
      <c r="D40" s="1">
        <v>36</v>
      </c>
      <c r="E40" s="2" t="s">
        <v>28</v>
      </c>
      <c r="F40" s="1">
        <f t="shared" si="0"/>
        <v>0</v>
      </c>
      <c r="G40" s="1">
        <v>0</v>
      </c>
      <c r="H40" s="1">
        <v>0</v>
      </c>
      <c r="I40" s="1">
        <v>0</v>
      </c>
      <c r="J40" s="1">
        <v>1107000</v>
      </c>
      <c r="K40" s="1">
        <v>0</v>
      </c>
      <c r="L40" s="1">
        <v>0</v>
      </c>
      <c r="M40" s="1">
        <v>1107000</v>
      </c>
      <c r="N40" s="1">
        <v>0</v>
      </c>
      <c r="O40" s="1">
        <v>3</v>
      </c>
      <c r="P40" s="1" t="s">
        <v>677</v>
      </c>
      <c r="Q40" s="1">
        <f t="shared" si="1"/>
        <v>388000</v>
      </c>
      <c r="R40" s="1" t="s">
        <v>56</v>
      </c>
      <c r="S40" s="1">
        <f t="shared" si="2"/>
        <v>0</v>
      </c>
      <c r="T40" s="1">
        <v>0</v>
      </c>
      <c r="U40" s="1">
        <v>0</v>
      </c>
      <c r="V40" s="1">
        <v>0</v>
      </c>
      <c r="W40" s="1" t="s">
        <v>56</v>
      </c>
      <c r="X40" s="1">
        <f t="shared" si="3"/>
        <v>0</v>
      </c>
      <c r="Y40" s="1" t="s">
        <v>56</v>
      </c>
      <c r="Z40" s="1">
        <f t="shared" si="4"/>
        <v>0</v>
      </c>
      <c r="AA40" s="1">
        <v>0</v>
      </c>
      <c r="AB40" s="1" t="s">
        <v>678</v>
      </c>
      <c r="AC40" s="1">
        <f t="shared" si="5"/>
        <v>21000</v>
      </c>
      <c r="AD40" s="1" t="s">
        <v>679</v>
      </c>
      <c r="AE40" s="1">
        <f t="shared" si="6"/>
        <v>10000</v>
      </c>
    </row>
    <row r="41" spans="1:31" x14ac:dyDescent="0.35">
      <c r="A41" s="1" t="s">
        <v>719</v>
      </c>
      <c r="B41" s="1" t="s">
        <v>720</v>
      </c>
      <c r="C41" s="1" t="s">
        <v>81</v>
      </c>
      <c r="D41" s="1">
        <v>13</v>
      </c>
      <c r="E41" s="2" t="s">
        <v>56</v>
      </c>
      <c r="F41" s="1">
        <f t="shared" si="0"/>
        <v>0</v>
      </c>
      <c r="G41" s="1">
        <v>10395</v>
      </c>
      <c r="H41" s="1">
        <v>27672000</v>
      </c>
      <c r="I41" s="1">
        <v>1722000</v>
      </c>
      <c r="J41" s="1">
        <v>5236000</v>
      </c>
      <c r="K41" s="1">
        <v>13234000</v>
      </c>
      <c r="L41" s="1">
        <v>0</v>
      </c>
      <c r="M41" s="1">
        <v>25448000</v>
      </c>
      <c r="N41" s="1">
        <v>22416000</v>
      </c>
      <c r="O41" s="1">
        <v>0</v>
      </c>
      <c r="P41" s="1" t="s">
        <v>28</v>
      </c>
      <c r="Q41" s="1">
        <f t="shared" si="1"/>
        <v>0</v>
      </c>
      <c r="R41" s="1" t="s">
        <v>56</v>
      </c>
      <c r="S41" s="1">
        <f t="shared" si="2"/>
        <v>0</v>
      </c>
      <c r="T41" s="1">
        <v>0</v>
      </c>
      <c r="U41" s="1">
        <v>0</v>
      </c>
      <c r="V41" s="1">
        <v>0</v>
      </c>
      <c r="W41" s="1" t="s">
        <v>56</v>
      </c>
      <c r="X41" s="1">
        <f t="shared" si="3"/>
        <v>0</v>
      </c>
      <c r="Y41" s="1" t="s">
        <v>56</v>
      </c>
      <c r="Z41" s="1">
        <f t="shared" si="4"/>
        <v>0</v>
      </c>
      <c r="AA41" s="1">
        <v>0</v>
      </c>
      <c r="AB41" s="1" t="s">
        <v>721</v>
      </c>
      <c r="AC41" s="1">
        <f t="shared" si="5"/>
        <v>1100992</v>
      </c>
      <c r="AD41" s="1" t="s">
        <v>56</v>
      </c>
      <c r="AE41" s="1">
        <f t="shared" si="6"/>
        <v>0</v>
      </c>
    </row>
    <row r="42" spans="1:31" x14ac:dyDescent="0.35">
      <c r="A42" s="1" t="s">
        <v>730</v>
      </c>
      <c r="B42" s="1" t="s">
        <v>731</v>
      </c>
      <c r="C42" s="1" t="s">
        <v>81</v>
      </c>
      <c r="D42" s="1">
        <v>21</v>
      </c>
      <c r="E42" s="2" t="s">
        <v>28</v>
      </c>
      <c r="F42" s="1">
        <f t="shared" si="0"/>
        <v>0</v>
      </c>
      <c r="G42" s="1">
        <v>6106</v>
      </c>
      <c r="H42" s="1">
        <v>38769000</v>
      </c>
      <c r="I42" s="1">
        <v>4307000</v>
      </c>
      <c r="J42" s="1">
        <v>238000</v>
      </c>
      <c r="K42" s="1">
        <v>1881000</v>
      </c>
      <c r="L42" s="1">
        <v>0</v>
      </c>
      <c r="M42" s="1">
        <v>38195000</v>
      </c>
      <c r="N42" s="1">
        <v>7000000</v>
      </c>
      <c r="O42" s="1">
        <v>1</v>
      </c>
      <c r="P42" s="1" t="s">
        <v>732</v>
      </c>
      <c r="Q42" s="1">
        <f t="shared" si="1"/>
        <v>22789</v>
      </c>
      <c r="R42" s="1" t="s">
        <v>733</v>
      </c>
      <c r="S42" s="1">
        <f t="shared" si="2"/>
        <v>135454</v>
      </c>
      <c r="T42" s="1">
        <v>516785</v>
      </c>
      <c r="U42" s="1">
        <v>22256</v>
      </c>
      <c r="V42" s="1">
        <v>0</v>
      </c>
      <c r="W42" s="1" t="s">
        <v>56</v>
      </c>
      <c r="X42" s="1">
        <f t="shared" si="3"/>
        <v>0</v>
      </c>
      <c r="Y42" s="1" t="s">
        <v>56</v>
      </c>
      <c r="Z42" s="1">
        <f t="shared" si="4"/>
        <v>0</v>
      </c>
      <c r="AA42" s="1">
        <v>674495</v>
      </c>
      <c r="AB42" s="1" t="s">
        <v>734</v>
      </c>
      <c r="AC42" s="1">
        <f t="shared" si="5"/>
        <v>894518</v>
      </c>
      <c r="AD42" s="1" t="s">
        <v>735</v>
      </c>
      <c r="AE42" s="1">
        <f t="shared" si="6"/>
        <v>1709346</v>
      </c>
    </row>
    <row r="43" spans="1:31" x14ac:dyDescent="0.35">
      <c r="A43" s="1" t="s">
        <v>754</v>
      </c>
      <c r="B43" s="1" t="s">
        <v>755</v>
      </c>
      <c r="C43" s="1" t="s">
        <v>81</v>
      </c>
      <c r="D43" s="1">
        <v>37</v>
      </c>
      <c r="E43" s="2" t="s">
        <v>28</v>
      </c>
      <c r="F43" s="1">
        <f t="shared" si="0"/>
        <v>0</v>
      </c>
      <c r="G43" s="1">
        <v>6060</v>
      </c>
      <c r="H43" s="1">
        <v>429525</v>
      </c>
      <c r="I43" s="1">
        <v>884087</v>
      </c>
      <c r="J43" s="1">
        <v>8749058</v>
      </c>
      <c r="K43" s="1">
        <v>5605729</v>
      </c>
      <c r="L43" s="1">
        <v>0</v>
      </c>
      <c r="M43" s="1">
        <v>15668399</v>
      </c>
      <c r="N43" s="1">
        <v>0</v>
      </c>
      <c r="O43" s="1">
        <v>3</v>
      </c>
      <c r="P43" s="1" t="s">
        <v>756</v>
      </c>
      <c r="Q43" s="1">
        <f t="shared" si="1"/>
        <v>1290108</v>
      </c>
      <c r="R43" s="1" t="s">
        <v>56</v>
      </c>
      <c r="S43" s="1">
        <f t="shared" si="2"/>
        <v>0</v>
      </c>
      <c r="T43" s="1">
        <v>0</v>
      </c>
      <c r="U43" s="1">
        <v>0</v>
      </c>
      <c r="V43" s="1">
        <v>0</v>
      </c>
      <c r="W43" s="1" t="s">
        <v>757</v>
      </c>
      <c r="X43" s="1">
        <f t="shared" si="3"/>
        <v>-454106</v>
      </c>
      <c r="Y43" s="1" t="s">
        <v>758</v>
      </c>
      <c r="Z43" s="1">
        <f t="shared" si="4"/>
        <v>-252660</v>
      </c>
      <c r="AA43" s="1">
        <v>-706766</v>
      </c>
      <c r="AB43" s="1" t="s">
        <v>56</v>
      </c>
      <c r="AC43" s="1">
        <f t="shared" si="5"/>
        <v>0</v>
      </c>
      <c r="AD43" s="1" t="s">
        <v>759</v>
      </c>
      <c r="AE43" s="1">
        <f t="shared" si="6"/>
        <v>22495</v>
      </c>
    </row>
    <row r="44" spans="1:31" x14ac:dyDescent="0.35">
      <c r="A44" s="1" t="s">
        <v>760</v>
      </c>
      <c r="B44" s="1" t="s">
        <v>761</v>
      </c>
      <c r="C44" s="1" t="s">
        <v>81</v>
      </c>
      <c r="D44" s="1">
        <v>5</v>
      </c>
      <c r="E44" s="2" t="s">
        <v>762</v>
      </c>
      <c r="F44" s="1">
        <f t="shared" si="0"/>
        <v>35000</v>
      </c>
      <c r="G44" s="1">
        <v>127</v>
      </c>
      <c r="H44" s="1">
        <v>8704838</v>
      </c>
      <c r="I44" s="1">
        <v>3147436</v>
      </c>
      <c r="J44" s="1">
        <v>3381155</v>
      </c>
      <c r="K44" s="1">
        <v>2890742</v>
      </c>
      <c r="L44" s="1">
        <v>0</v>
      </c>
      <c r="M44" s="1">
        <v>10690143</v>
      </c>
      <c r="N44" s="1">
        <v>7434028</v>
      </c>
      <c r="O44" s="1">
        <v>4</v>
      </c>
      <c r="P44" s="1" t="s">
        <v>763</v>
      </c>
      <c r="Q44" s="1">
        <f t="shared" si="1"/>
        <v>498975</v>
      </c>
      <c r="R44" s="1" t="s">
        <v>764</v>
      </c>
      <c r="S44" s="1">
        <f t="shared" si="2"/>
        <v>-45849</v>
      </c>
      <c r="T44" s="1">
        <v>-1021262</v>
      </c>
      <c r="U44" s="1">
        <v>-22385</v>
      </c>
      <c r="V44" s="1">
        <v>0</v>
      </c>
      <c r="W44" s="1" t="s">
        <v>765</v>
      </c>
      <c r="X44" s="1">
        <f t="shared" si="3"/>
        <v>-370860</v>
      </c>
      <c r="Y44" s="1" t="s">
        <v>766</v>
      </c>
      <c r="Z44" s="1">
        <f t="shared" si="4"/>
        <v>-146045</v>
      </c>
      <c r="AA44" s="1">
        <v>-1606401</v>
      </c>
      <c r="AB44" s="1" t="s">
        <v>767</v>
      </c>
      <c r="AC44" s="1">
        <f t="shared" si="5"/>
        <v>198000</v>
      </c>
      <c r="AD44" s="1" t="s">
        <v>768</v>
      </c>
      <c r="AE44" s="1">
        <f t="shared" si="6"/>
        <v>105000</v>
      </c>
    </row>
    <row r="45" spans="1:31" x14ac:dyDescent="0.35">
      <c r="A45" s="1" t="s">
        <v>777</v>
      </c>
      <c r="B45" s="1" t="s">
        <v>778</v>
      </c>
      <c r="C45" s="1" t="s">
        <v>81</v>
      </c>
      <c r="D45" s="1">
        <v>7</v>
      </c>
      <c r="E45" s="2" t="s">
        <v>28</v>
      </c>
      <c r="F45" s="1">
        <f t="shared" si="0"/>
        <v>0</v>
      </c>
      <c r="G45" s="1">
        <v>315</v>
      </c>
      <c r="H45" s="1">
        <v>9939526</v>
      </c>
      <c r="I45" s="1">
        <v>14312851</v>
      </c>
      <c r="J45" s="1">
        <v>6223819</v>
      </c>
      <c r="K45" s="1">
        <v>9287922</v>
      </c>
      <c r="L45" s="1">
        <v>2330295</v>
      </c>
      <c r="M45" s="1">
        <v>37022662</v>
      </c>
      <c r="N45" s="1">
        <v>411161</v>
      </c>
      <c r="O45" s="1">
        <v>20</v>
      </c>
      <c r="P45" s="1" t="s">
        <v>779</v>
      </c>
      <c r="Q45" s="1">
        <f t="shared" si="1"/>
        <v>3772143</v>
      </c>
      <c r="R45" s="1" t="s">
        <v>780</v>
      </c>
      <c r="S45" s="1">
        <f t="shared" si="2"/>
        <v>-352916</v>
      </c>
      <c r="T45" s="1">
        <v>-3691250</v>
      </c>
      <c r="U45" s="1">
        <v>-1082803</v>
      </c>
      <c r="V45" s="1">
        <v>0</v>
      </c>
      <c r="W45" s="1" t="s">
        <v>781</v>
      </c>
      <c r="X45" s="1">
        <f t="shared" si="3"/>
        <v>-2825910</v>
      </c>
      <c r="Y45" s="1" t="s">
        <v>782</v>
      </c>
      <c r="Z45" s="1">
        <f t="shared" si="4"/>
        <v>-412527</v>
      </c>
      <c r="AA45" s="1">
        <v>-8365406</v>
      </c>
      <c r="AB45" s="1" t="s">
        <v>783</v>
      </c>
      <c r="AC45" s="1">
        <f t="shared" si="5"/>
        <v>1101852</v>
      </c>
      <c r="AD45" s="1" t="s">
        <v>784</v>
      </c>
      <c r="AE45" s="1">
        <f t="shared" si="6"/>
        <v>582305</v>
      </c>
    </row>
    <row r="46" spans="1:31" x14ac:dyDescent="0.35">
      <c r="A46" s="1" t="s">
        <v>792</v>
      </c>
      <c r="B46" s="1" t="s">
        <v>793</v>
      </c>
      <c r="C46" s="1" t="s">
        <v>81</v>
      </c>
      <c r="D46" s="1">
        <v>22</v>
      </c>
      <c r="E46" s="2" t="s">
        <v>56</v>
      </c>
      <c r="F46" s="1">
        <f t="shared" si="0"/>
        <v>0</v>
      </c>
      <c r="G46" s="1">
        <v>4592</v>
      </c>
      <c r="H46" s="1">
        <v>0</v>
      </c>
      <c r="I46" s="1">
        <v>22183248</v>
      </c>
      <c r="J46" s="1">
        <v>2091629</v>
      </c>
      <c r="K46" s="1">
        <v>3048541</v>
      </c>
      <c r="L46" s="1">
        <v>0</v>
      </c>
      <c r="M46" s="1">
        <v>27323418</v>
      </c>
      <c r="N46" s="1">
        <v>0</v>
      </c>
      <c r="O46" s="1">
        <v>0</v>
      </c>
      <c r="P46" s="1" t="s">
        <v>28</v>
      </c>
      <c r="Q46" s="1">
        <f t="shared" si="1"/>
        <v>0</v>
      </c>
      <c r="R46" s="1" t="s">
        <v>794</v>
      </c>
      <c r="S46" s="1">
        <f t="shared" si="2"/>
        <v>-281112</v>
      </c>
      <c r="T46" s="1">
        <v>-263707</v>
      </c>
      <c r="U46" s="1">
        <v>-568385</v>
      </c>
      <c r="V46" s="1">
        <v>0</v>
      </c>
      <c r="W46" s="1" t="s">
        <v>56</v>
      </c>
      <c r="X46" s="1">
        <f t="shared" si="3"/>
        <v>0</v>
      </c>
      <c r="Y46" s="1" t="s">
        <v>795</v>
      </c>
      <c r="Z46" s="1">
        <f t="shared" si="4"/>
        <v>-118146</v>
      </c>
      <c r="AA46" s="1">
        <v>-1231350</v>
      </c>
      <c r="AB46" s="1" t="s">
        <v>56</v>
      </c>
      <c r="AC46" s="1">
        <f t="shared" si="5"/>
        <v>0</v>
      </c>
      <c r="AD46" s="1" t="s">
        <v>796</v>
      </c>
      <c r="AE46" s="1">
        <f t="shared" si="6"/>
        <v>401099</v>
      </c>
    </row>
    <row r="47" spans="1:31" x14ac:dyDescent="0.35">
      <c r="A47" s="1" t="s">
        <v>797</v>
      </c>
      <c r="B47" s="1" t="s">
        <v>798</v>
      </c>
      <c r="C47" s="1" t="s">
        <v>81</v>
      </c>
      <c r="D47" s="1">
        <v>24</v>
      </c>
      <c r="E47" s="2" t="s">
        <v>28</v>
      </c>
      <c r="F47" s="1">
        <f t="shared" si="0"/>
        <v>0</v>
      </c>
      <c r="G47" s="1">
        <v>8266</v>
      </c>
      <c r="H47" s="1">
        <v>23973566</v>
      </c>
      <c r="I47" s="1">
        <v>517936</v>
      </c>
      <c r="J47" s="1">
        <v>489332</v>
      </c>
      <c r="K47" s="1">
        <v>2666861</v>
      </c>
      <c r="L47" s="1">
        <v>0</v>
      </c>
      <c r="M47" s="1">
        <v>27647695</v>
      </c>
      <c r="N47" s="1">
        <v>0</v>
      </c>
      <c r="O47" s="1">
        <v>0</v>
      </c>
      <c r="P47" s="1" t="s">
        <v>28</v>
      </c>
      <c r="Q47" s="1">
        <f t="shared" si="1"/>
        <v>0</v>
      </c>
      <c r="R47" s="1" t="s">
        <v>56</v>
      </c>
      <c r="S47" s="1">
        <f t="shared" si="2"/>
        <v>0</v>
      </c>
      <c r="T47" s="1">
        <v>24571</v>
      </c>
      <c r="U47" s="1">
        <v>0</v>
      </c>
      <c r="V47" s="1">
        <v>-41068</v>
      </c>
      <c r="W47" s="1" t="s">
        <v>799</v>
      </c>
      <c r="X47" s="1">
        <f t="shared" si="3"/>
        <v>-4983</v>
      </c>
      <c r="Y47" s="1" t="s">
        <v>800</v>
      </c>
      <c r="Z47" s="1">
        <f t="shared" si="4"/>
        <v>-202601</v>
      </c>
      <c r="AA47" s="1">
        <v>-224081</v>
      </c>
      <c r="AB47" s="1" t="s">
        <v>56</v>
      </c>
      <c r="AC47" s="1">
        <f t="shared" si="5"/>
        <v>0</v>
      </c>
      <c r="AD47" s="1" t="s">
        <v>56</v>
      </c>
      <c r="AE47" s="1">
        <f t="shared" si="6"/>
        <v>0</v>
      </c>
    </row>
    <row r="48" spans="1:31" x14ac:dyDescent="0.35">
      <c r="A48" s="1" t="s">
        <v>846</v>
      </c>
      <c r="B48" s="1" t="s">
        <v>847</v>
      </c>
      <c r="C48" s="1" t="s">
        <v>81</v>
      </c>
      <c r="D48" s="1">
        <v>24</v>
      </c>
      <c r="E48" s="2" t="s">
        <v>28</v>
      </c>
      <c r="F48" s="1">
        <f t="shared" si="0"/>
        <v>0</v>
      </c>
      <c r="G48" s="1">
        <v>639</v>
      </c>
      <c r="H48" s="1">
        <v>0</v>
      </c>
      <c r="I48" s="1">
        <v>6979555</v>
      </c>
      <c r="J48" s="1">
        <v>1181767</v>
      </c>
      <c r="K48" s="1">
        <v>340517</v>
      </c>
      <c r="L48" s="1">
        <v>0</v>
      </c>
      <c r="M48" s="1">
        <v>8501839</v>
      </c>
      <c r="N48" s="1">
        <v>0</v>
      </c>
      <c r="O48" s="1">
        <v>1</v>
      </c>
      <c r="P48" s="1" t="s">
        <v>848</v>
      </c>
      <c r="Q48" s="1">
        <f t="shared" si="1"/>
        <v>119450</v>
      </c>
      <c r="R48" s="1" t="s">
        <v>56</v>
      </c>
      <c r="S48" s="1">
        <f t="shared" si="2"/>
        <v>0</v>
      </c>
      <c r="T48" s="1">
        <v>-8385</v>
      </c>
      <c r="U48" s="1">
        <v>-1408270</v>
      </c>
      <c r="V48" s="1">
        <v>0</v>
      </c>
      <c r="W48" s="1" t="s">
        <v>849</v>
      </c>
      <c r="X48" s="1">
        <f t="shared" si="3"/>
        <v>-51767</v>
      </c>
      <c r="Y48" s="1" t="s">
        <v>56</v>
      </c>
      <c r="Z48" s="1">
        <f t="shared" si="4"/>
        <v>0</v>
      </c>
      <c r="AA48" s="1">
        <v>-1468422</v>
      </c>
      <c r="AB48" s="1" t="s">
        <v>850</v>
      </c>
      <c r="AC48" s="1">
        <f t="shared" si="5"/>
        <v>225601</v>
      </c>
      <c r="AD48" s="1" t="s">
        <v>851</v>
      </c>
      <c r="AE48" s="1">
        <f t="shared" si="6"/>
        <v>185912</v>
      </c>
    </row>
    <row r="49" spans="1:31" x14ac:dyDescent="0.35">
      <c r="A49" s="1" t="s">
        <v>852</v>
      </c>
      <c r="B49" s="1" t="s">
        <v>853</v>
      </c>
      <c r="C49" s="1" t="s">
        <v>81</v>
      </c>
      <c r="D49" s="1">
        <v>78</v>
      </c>
      <c r="E49" s="2" t="s">
        <v>56</v>
      </c>
      <c r="F49" s="1">
        <f t="shared" si="0"/>
        <v>0</v>
      </c>
      <c r="G49" s="1">
        <v>0</v>
      </c>
      <c r="H49" s="1">
        <v>0</v>
      </c>
      <c r="I49" s="1">
        <v>4155627</v>
      </c>
      <c r="J49" s="1">
        <v>0</v>
      </c>
      <c r="K49" s="1">
        <v>0</v>
      </c>
      <c r="L49" s="1">
        <v>0</v>
      </c>
      <c r="M49" s="1">
        <v>4155627</v>
      </c>
      <c r="N49" s="1">
        <v>0</v>
      </c>
      <c r="O49" s="1">
        <v>0</v>
      </c>
      <c r="P49" s="1" t="s">
        <v>28</v>
      </c>
      <c r="Q49" s="1">
        <f t="shared" si="1"/>
        <v>0</v>
      </c>
      <c r="R49" s="1" t="s">
        <v>28</v>
      </c>
      <c r="S49" s="1">
        <f t="shared" si="2"/>
        <v>0</v>
      </c>
      <c r="T49" s="1">
        <v>0</v>
      </c>
      <c r="U49" s="1">
        <v>0</v>
      </c>
      <c r="V49" s="1">
        <v>0</v>
      </c>
      <c r="W49" s="1" t="s">
        <v>28</v>
      </c>
      <c r="X49" s="1">
        <f t="shared" si="3"/>
        <v>0</v>
      </c>
      <c r="Y49" s="1" t="s">
        <v>28</v>
      </c>
      <c r="Z49" s="1">
        <f t="shared" si="4"/>
        <v>0</v>
      </c>
      <c r="AA49" s="1">
        <v>0</v>
      </c>
      <c r="AB49" s="1" t="s">
        <v>28</v>
      </c>
      <c r="AC49" s="1">
        <f t="shared" si="5"/>
        <v>0</v>
      </c>
      <c r="AD49" s="1" t="s">
        <v>28</v>
      </c>
      <c r="AE49" s="1">
        <f t="shared" si="6"/>
        <v>0</v>
      </c>
    </row>
    <row r="50" spans="1:31" x14ac:dyDescent="0.35">
      <c r="A50" s="1" t="s">
        <v>854</v>
      </c>
      <c r="B50" s="1" t="s">
        <v>855</v>
      </c>
      <c r="C50" s="1" t="s">
        <v>81</v>
      </c>
      <c r="D50" s="1">
        <v>23</v>
      </c>
      <c r="E50" s="2" t="s">
        <v>856</v>
      </c>
      <c r="F50" s="1">
        <f t="shared" si="0"/>
        <v>7115</v>
      </c>
      <c r="G50" s="1">
        <v>6221</v>
      </c>
      <c r="H50" s="1">
        <v>510498</v>
      </c>
      <c r="I50" s="1">
        <v>7136140</v>
      </c>
      <c r="J50" s="1">
        <v>21271171</v>
      </c>
      <c r="K50" s="1">
        <v>0</v>
      </c>
      <c r="L50" s="1">
        <v>7220000</v>
      </c>
      <c r="M50" s="1">
        <v>21421835</v>
      </c>
      <c r="N50" s="1">
        <v>275974</v>
      </c>
      <c r="O50" s="1">
        <v>10</v>
      </c>
      <c r="P50" s="1" t="s">
        <v>857</v>
      </c>
      <c r="Q50" s="1">
        <f t="shared" si="1"/>
        <v>2713872</v>
      </c>
      <c r="R50" s="1" t="s">
        <v>858</v>
      </c>
      <c r="S50" s="1">
        <f t="shared" si="2"/>
        <v>-25846</v>
      </c>
      <c r="T50" s="1">
        <v>-319472</v>
      </c>
      <c r="U50" s="1">
        <v>-83725</v>
      </c>
      <c r="V50" s="1">
        <v>0</v>
      </c>
      <c r="W50" s="1" t="s">
        <v>859</v>
      </c>
      <c r="X50" s="1">
        <f t="shared" si="3"/>
        <v>-814</v>
      </c>
      <c r="Y50" s="1" t="s">
        <v>860</v>
      </c>
      <c r="Z50" s="1">
        <f t="shared" si="4"/>
        <v>-66380</v>
      </c>
      <c r="AA50" s="1">
        <v>-496237</v>
      </c>
      <c r="AB50" s="1" t="s">
        <v>861</v>
      </c>
      <c r="AC50" s="1">
        <f t="shared" si="5"/>
        <v>1385012</v>
      </c>
      <c r="AD50" s="1" t="s">
        <v>862</v>
      </c>
      <c r="AE50" s="1">
        <f t="shared" si="6"/>
        <v>604585</v>
      </c>
    </row>
    <row r="51" spans="1:31" x14ac:dyDescent="0.35">
      <c r="A51" s="1" t="s">
        <v>945</v>
      </c>
      <c r="B51" s="1" t="s">
        <v>946</v>
      </c>
      <c r="C51" s="1" t="s">
        <v>81</v>
      </c>
      <c r="D51" s="1">
        <v>92</v>
      </c>
      <c r="E51" s="2" t="s">
        <v>28</v>
      </c>
      <c r="F51" s="1">
        <f t="shared" si="0"/>
        <v>0</v>
      </c>
      <c r="G51" s="1">
        <v>0</v>
      </c>
      <c r="H51" s="1">
        <v>0</v>
      </c>
      <c r="I51" s="1">
        <v>9948000</v>
      </c>
      <c r="J51" s="1">
        <v>0</v>
      </c>
      <c r="K51" s="1">
        <v>1511000</v>
      </c>
      <c r="L51" s="1">
        <v>0</v>
      </c>
      <c r="M51" s="1">
        <v>11459000</v>
      </c>
      <c r="N51" s="1">
        <v>0</v>
      </c>
      <c r="O51" s="1">
        <v>0</v>
      </c>
      <c r="P51" s="1" t="s">
        <v>28</v>
      </c>
      <c r="Q51" s="1">
        <f t="shared" si="1"/>
        <v>0</v>
      </c>
      <c r="R51" s="1" t="s">
        <v>56</v>
      </c>
      <c r="S51" s="1">
        <f t="shared" si="2"/>
        <v>0</v>
      </c>
      <c r="T51" s="1">
        <v>0</v>
      </c>
      <c r="U51" s="1">
        <v>0</v>
      </c>
      <c r="V51" s="1">
        <v>0</v>
      </c>
      <c r="W51" s="1" t="s">
        <v>56</v>
      </c>
      <c r="X51" s="1">
        <f t="shared" si="3"/>
        <v>0</v>
      </c>
      <c r="Y51" s="1" t="s">
        <v>56</v>
      </c>
      <c r="Z51" s="1">
        <f t="shared" si="4"/>
        <v>0</v>
      </c>
      <c r="AA51" s="1">
        <v>0</v>
      </c>
      <c r="AB51" s="1" t="s">
        <v>56</v>
      </c>
      <c r="AC51" s="1">
        <f t="shared" si="5"/>
        <v>0</v>
      </c>
      <c r="AD51" s="1" t="s">
        <v>947</v>
      </c>
      <c r="AE51" s="1">
        <f t="shared" si="6"/>
        <v>143706</v>
      </c>
    </row>
    <row r="52" spans="1:31" x14ac:dyDescent="0.35">
      <c r="A52" s="1" t="s">
        <v>948</v>
      </c>
      <c r="B52" s="1" t="s">
        <v>949</v>
      </c>
      <c r="C52" s="1" t="s">
        <v>81</v>
      </c>
      <c r="D52" s="1">
        <v>64</v>
      </c>
      <c r="E52" s="2" t="s">
        <v>28</v>
      </c>
      <c r="F52" s="1">
        <f t="shared" si="0"/>
        <v>0</v>
      </c>
      <c r="G52" s="1">
        <v>3961</v>
      </c>
      <c r="H52" s="1">
        <v>25277000</v>
      </c>
      <c r="I52" s="1">
        <v>3790500</v>
      </c>
      <c r="J52" s="1">
        <v>3790500</v>
      </c>
      <c r="K52" s="1">
        <v>0</v>
      </c>
      <c r="L52" s="1">
        <v>0</v>
      </c>
      <c r="M52" s="1">
        <v>24527000</v>
      </c>
      <c r="N52" s="1">
        <v>8331000</v>
      </c>
      <c r="O52" s="1">
        <v>0</v>
      </c>
      <c r="P52" s="1" t="s">
        <v>28</v>
      </c>
      <c r="Q52" s="1">
        <f t="shared" si="1"/>
        <v>0</v>
      </c>
      <c r="R52" s="1" t="s">
        <v>56</v>
      </c>
      <c r="S52" s="1">
        <f t="shared" si="2"/>
        <v>0</v>
      </c>
      <c r="T52" s="1">
        <v>0</v>
      </c>
      <c r="U52" s="1">
        <v>0</v>
      </c>
      <c r="V52" s="1">
        <v>0</v>
      </c>
      <c r="W52" s="1" t="s">
        <v>950</v>
      </c>
      <c r="X52" s="1">
        <f t="shared" si="3"/>
        <v>-10538</v>
      </c>
      <c r="Y52" s="1" t="s">
        <v>56</v>
      </c>
      <c r="Z52" s="1">
        <f t="shared" si="4"/>
        <v>0</v>
      </c>
      <c r="AA52" s="1">
        <v>-10538</v>
      </c>
      <c r="AB52" s="1" t="s">
        <v>56</v>
      </c>
      <c r="AC52" s="1">
        <f t="shared" si="5"/>
        <v>0</v>
      </c>
      <c r="AD52" s="1" t="s">
        <v>56</v>
      </c>
      <c r="AE52" s="1">
        <f t="shared" si="6"/>
        <v>0</v>
      </c>
    </row>
    <row r="53" spans="1:31" x14ac:dyDescent="0.35">
      <c r="A53" s="1" t="s">
        <v>968</v>
      </c>
      <c r="B53" s="1" t="s">
        <v>969</v>
      </c>
      <c r="C53" s="1" t="s">
        <v>81</v>
      </c>
      <c r="D53" s="1">
        <v>38</v>
      </c>
      <c r="E53" s="2" t="s">
        <v>28</v>
      </c>
      <c r="F53" s="1">
        <f t="shared" si="0"/>
        <v>0</v>
      </c>
      <c r="G53" s="1">
        <v>1125</v>
      </c>
      <c r="H53" s="1">
        <v>3512923</v>
      </c>
      <c r="I53" s="1">
        <v>4951390</v>
      </c>
      <c r="J53" s="1">
        <v>619759</v>
      </c>
      <c r="K53" s="1">
        <v>7652339</v>
      </c>
      <c r="L53" s="1">
        <v>0</v>
      </c>
      <c r="M53" s="1">
        <v>16440604</v>
      </c>
      <c r="N53" s="1">
        <v>295807</v>
      </c>
      <c r="O53" s="1">
        <v>0</v>
      </c>
      <c r="P53" s="1" t="s">
        <v>28</v>
      </c>
      <c r="Q53" s="1">
        <f t="shared" si="1"/>
        <v>0</v>
      </c>
      <c r="R53" s="1" t="s">
        <v>970</v>
      </c>
      <c r="S53" s="1">
        <f t="shared" si="2"/>
        <v>-163802</v>
      </c>
      <c r="T53" s="1">
        <v>-355443</v>
      </c>
      <c r="U53" s="1">
        <v>-37239</v>
      </c>
      <c r="V53" s="1">
        <v>0</v>
      </c>
      <c r="W53" s="1" t="s">
        <v>971</v>
      </c>
      <c r="X53" s="1">
        <f t="shared" si="3"/>
        <v>-2115419</v>
      </c>
      <c r="Y53" s="1" t="s">
        <v>972</v>
      </c>
      <c r="Z53" s="1">
        <f t="shared" si="4"/>
        <v>-636829</v>
      </c>
      <c r="AA53" s="1">
        <v>-3308732</v>
      </c>
      <c r="AB53" s="1" t="s">
        <v>973</v>
      </c>
      <c r="AC53" s="1">
        <f t="shared" si="5"/>
        <v>1777615</v>
      </c>
      <c r="AD53" s="1" t="s">
        <v>974</v>
      </c>
      <c r="AE53" s="1">
        <f t="shared" si="6"/>
        <v>268484</v>
      </c>
    </row>
    <row r="54" spans="1:31" x14ac:dyDescent="0.35">
      <c r="A54" s="1" t="s">
        <v>1054</v>
      </c>
      <c r="B54" s="1" t="s">
        <v>1055</v>
      </c>
      <c r="C54" s="1" t="s">
        <v>81</v>
      </c>
      <c r="D54" s="1">
        <v>106</v>
      </c>
      <c r="E54" s="2" t="s">
        <v>56</v>
      </c>
      <c r="F54" s="1">
        <f t="shared" si="0"/>
        <v>0</v>
      </c>
      <c r="G54" s="1">
        <v>0</v>
      </c>
      <c r="H54" s="1">
        <v>0</v>
      </c>
      <c r="I54" s="1">
        <v>3466023</v>
      </c>
      <c r="J54" s="1">
        <v>2297583</v>
      </c>
      <c r="K54" s="1">
        <v>1212671</v>
      </c>
      <c r="L54" s="1">
        <v>0</v>
      </c>
      <c r="M54" s="1">
        <v>6976277</v>
      </c>
      <c r="N54" s="1">
        <v>0</v>
      </c>
      <c r="O54" s="1">
        <v>14</v>
      </c>
      <c r="P54" s="1" t="s">
        <v>1056</v>
      </c>
      <c r="Q54" s="1">
        <f t="shared" si="1"/>
        <v>342589</v>
      </c>
      <c r="R54" s="1" t="s">
        <v>56</v>
      </c>
      <c r="S54" s="1">
        <f t="shared" si="2"/>
        <v>0</v>
      </c>
      <c r="T54" s="1">
        <v>322811</v>
      </c>
      <c r="U54" s="1">
        <v>741257</v>
      </c>
      <c r="V54" s="1">
        <v>0</v>
      </c>
      <c r="W54" s="1" t="s">
        <v>56</v>
      </c>
      <c r="X54" s="1">
        <f t="shared" si="3"/>
        <v>0</v>
      </c>
      <c r="Y54" s="1" t="s">
        <v>56</v>
      </c>
      <c r="Z54" s="1">
        <f t="shared" si="4"/>
        <v>0</v>
      </c>
      <c r="AA54" s="1">
        <v>1064068</v>
      </c>
      <c r="AB54" s="1" t="s">
        <v>56</v>
      </c>
      <c r="AC54" s="1">
        <f t="shared" si="5"/>
        <v>0</v>
      </c>
      <c r="AD54" s="1" t="s">
        <v>1057</v>
      </c>
      <c r="AE54" s="1">
        <f t="shared" si="6"/>
        <v>98676</v>
      </c>
    </row>
    <row r="55" spans="1:31" x14ac:dyDescent="0.35">
      <c r="A55" s="1" t="s">
        <v>1258</v>
      </c>
      <c r="B55" s="1" t="s">
        <v>1259</v>
      </c>
      <c r="C55" s="1" t="s">
        <v>81</v>
      </c>
      <c r="D55" s="1">
        <v>21</v>
      </c>
      <c r="E55" s="2" t="s">
        <v>28</v>
      </c>
      <c r="F55" s="1">
        <f t="shared" si="0"/>
        <v>0</v>
      </c>
      <c r="G55" s="1">
        <v>1480</v>
      </c>
      <c r="H55" s="1">
        <v>0</v>
      </c>
      <c r="I55" s="1">
        <v>398140</v>
      </c>
      <c r="J55" s="1">
        <v>159256</v>
      </c>
      <c r="K55" s="1">
        <v>238884</v>
      </c>
      <c r="L55" s="1">
        <v>0</v>
      </c>
      <c r="M55" s="1">
        <v>796280</v>
      </c>
      <c r="N55" s="1">
        <v>0</v>
      </c>
      <c r="O55" s="1">
        <v>0</v>
      </c>
      <c r="P55" s="1" t="s">
        <v>28</v>
      </c>
      <c r="Q55" s="1">
        <f t="shared" si="1"/>
        <v>0</v>
      </c>
      <c r="R55" s="1" t="s">
        <v>56</v>
      </c>
      <c r="S55" s="1">
        <f t="shared" si="2"/>
        <v>0</v>
      </c>
      <c r="T55" s="1">
        <v>0</v>
      </c>
      <c r="U55" s="1">
        <v>0</v>
      </c>
      <c r="V55" s="1">
        <v>0</v>
      </c>
      <c r="W55" s="1" t="s">
        <v>56</v>
      </c>
      <c r="X55" s="1">
        <f t="shared" si="3"/>
        <v>0</v>
      </c>
      <c r="Y55" s="1" t="s">
        <v>56</v>
      </c>
      <c r="Z55" s="1">
        <f t="shared" si="4"/>
        <v>0</v>
      </c>
      <c r="AA55" s="1">
        <v>0</v>
      </c>
      <c r="AB55" s="1" t="s">
        <v>1260</v>
      </c>
      <c r="AC55" s="1">
        <f t="shared" si="5"/>
        <v>47496</v>
      </c>
      <c r="AD55" s="1" t="s">
        <v>1261</v>
      </c>
      <c r="AE55" s="1">
        <f t="shared" si="6"/>
        <v>21370</v>
      </c>
    </row>
    <row r="56" spans="1:31" x14ac:dyDescent="0.35">
      <c r="A56" s="1" t="s">
        <v>1279</v>
      </c>
      <c r="B56" s="1" t="s">
        <v>1280</v>
      </c>
      <c r="C56" s="1" t="s">
        <v>81</v>
      </c>
      <c r="D56" s="1">
        <v>10</v>
      </c>
      <c r="E56" s="2" t="s">
        <v>28</v>
      </c>
      <c r="F56" s="1">
        <f t="shared" si="0"/>
        <v>0</v>
      </c>
      <c r="G56" s="1">
        <v>5215</v>
      </c>
      <c r="H56" s="1">
        <v>10976762</v>
      </c>
      <c r="I56" s="1">
        <v>50381854</v>
      </c>
      <c r="J56" s="1">
        <v>40598</v>
      </c>
      <c r="K56" s="1">
        <v>13558724</v>
      </c>
      <c r="L56" s="1">
        <v>0</v>
      </c>
      <c r="M56" s="1">
        <v>70453101</v>
      </c>
      <c r="N56" s="1">
        <v>4504837</v>
      </c>
      <c r="O56" s="1">
        <v>13</v>
      </c>
      <c r="P56" s="1" t="s">
        <v>1281</v>
      </c>
      <c r="Q56" s="1">
        <f t="shared" si="1"/>
        <v>1787761</v>
      </c>
      <c r="R56" s="1" t="s">
        <v>1282</v>
      </c>
      <c r="S56" s="1">
        <f t="shared" si="2"/>
        <v>-718225</v>
      </c>
      <c r="T56" s="1">
        <v>-4456518</v>
      </c>
      <c r="U56" s="1">
        <v>-96330</v>
      </c>
      <c r="V56" s="1">
        <v>0</v>
      </c>
      <c r="W56" s="1" t="s">
        <v>1283</v>
      </c>
      <c r="X56" s="1">
        <f t="shared" si="3"/>
        <v>-716064</v>
      </c>
      <c r="Y56" s="1" t="s">
        <v>1284</v>
      </c>
      <c r="Z56" s="1">
        <f t="shared" si="4"/>
        <v>-808445</v>
      </c>
      <c r="AA56" s="1">
        <v>-6795582</v>
      </c>
      <c r="AB56" s="1" t="s">
        <v>1285</v>
      </c>
      <c r="AC56" s="1">
        <f t="shared" si="5"/>
        <v>925434</v>
      </c>
      <c r="AD56" s="1" t="s">
        <v>1286</v>
      </c>
      <c r="AE56" s="1">
        <f t="shared" si="6"/>
        <v>745205</v>
      </c>
    </row>
    <row r="57" spans="1:31" x14ac:dyDescent="0.35">
      <c r="A57" s="1" t="s">
        <v>1302</v>
      </c>
      <c r="B57" s="1" t="s">
        <v>1303</v>
      </c>
      <c r="C57" s="1" t="s">
        <v>81</v>
      </c>
      <c r="D57" s="1">
        <v>287</v>
      </c>
      <c r="E57" s="2" t="s">
        <v>28</v>
      </c>
      <c r="F57" s="1">
        <f t="shared" si="0"/>
        <v>0</v>
      </c>
      <c r="G57" s="1">
        <v>0</v>
      </c>
      <c r="H57" s="1">
        <v>0</v>
      </c>
      <c r="I57" s="1">
        <v>5856500</v>
      </c>
      <c r="J57" s="1">
        <v>427500</v>
      </c>
      <c r="K57" s="1">
        <v>0</v>
      </c>
      <c r="L57" s="1">
        <v>0</v>
      </c>
      <c r="M57" s="1">
        <v>6284000</v>
      </c>
      <c r="N57" s="1">
        <v>0</v>
      </c>
      <c r="O57" s="1">
        <v>3</v>
      </c>
      <c r="P57" s="1" t="s">
        <v>1304</v>
      </c>
      <c r="Q57" s="1">
        <f t="shared" si="1"/>
        <v>466083</v>
      </c>
      <c r="R57" s="1" t="s">
        <v>56</v>
      </c>
      <c r="S57" s="1">
        <f t="shared" si="2"/>
        <v>0</v>
      </c>
      <c r="T57" s="1">
        <v>-1273745</v>
      </c>
      <c r="U57" s="1">
        <v>-570687</v>
      </c>
      <c r="V57" s="1">
        <v>0</v>
      </c>
      <c r="W57" s="1" t="s">
        <v>56</v>
      </c>
      <c r="X57" s="1">
        <f t="shared" si="3"/>
        <v>0</v>
      </c>
      <c r="Y57" s="1" t="s">
        <v>56</v>
      </c>
      <c r="Z57" s="1">
        <f t="shared" si="4"/>
        <v>0</v>
      </c>
      <c r="AA57" s="1">
        <v>-1844432</v>
      </c>
      <c r="AB57" s="1" t="s">
        <v>1305</v>
      </c>
      <c r="AC57" s="1">
        <f t="shared" si="5"/>
        <v>259800</v>
      </c>
      <c r="AD57" s="1" t="s">
        <v>1306</v>
      </c>
      <c r="AE57" s="1">
        <f t="shared" si="6"/>
        <v>21457</v>
      </c>
    </row>
    <row r="58" spans="1:31" x14ac:dyDescent="0.35">
      <c r="A58" s="1" t="s">
        <v>1316</v>
      </c>
      <c r="B58" s="1" t="s">
        <v>1317</v>
      </c>
      <c r="C58" s="1" t="s">
        <v>81</v>
      </c>
      <c r="D58" s="1">
        <v>27</v>
      </c>
      <c r="E58" s="2" t="s">
        <v>28</v>
      </c>
      <c r="F58" s="1">
        <f t="shared" si="0"/>
        <v>0</v>
      </c>
      <c r="G58" s="1">
        <v>545</v>
      </c>
      <c r="H58" s="1">
        <v>39907094</v>
      </c>
      <c r="I58" s="1">
        <v>5859090</v>
      </c>
      <c r="J58" s="1">
        <v>854092</v>
      </c>
      <c r="K58" s="1">
        <v>1559113</v>
      </c>
      <c r="L58" s="1">
        <v>0</v>
      </c>
      <c r="M58" s="1">
        <v>48179389</v>
      </c>
      <c r="N58" s="1">
        <v>0</v>
      </c>
      <c r="O58" s="1">
        <v>0</v>
      </c>
      <c r="P58" s="1" t="s">
        <v>28</v>
      </c>
      <c r="Q58" s="1">
        <f t="shared" si="1"/>
        <v>0</v>
      </c>
      <c r="R58" s="1" t="s">
        <v>56</v>
      </c>
      <c r="S58" s="1">
        <f t="shared" si="2"/>
        <v>0</v>
      </c>
      <c r="T58" s="1">
        <v>0</v>
      </c>
      <c r="U58" s="1">
        <v>0</v>
      </c>
      <c r="V58" s="1">
        <v>0</v>
      </c>
      <c r="W58" s="1" t="s">
        <v>56</v>
      </c>
      <c r="X58" s="1">
        <f t="shared" si="3"/>
        <v>0</v>
      </c>
      <c r="Y58" s="1" t="s">
        <v>56</v>
      </c>
      <c r="Z58" s="1">
        <f t="shared" si="4"/>
        <v>0</v>
      </c>
      <c r="AA58" s="1">
        <v>0</v>
      </c>
      <c r="AB58" s="1" t="s">
        <v>1318</v>
      </c>
      <c r="AC58" s="1">
        <f t="shared" si="5"/>
        <v>35632</v>
      </c>
      <c r="AD58" s="1" t="s">
        <v>1319</v>
      </c>
      <c r="AE58" s="1">
        <f t="shared" si="6"/>
        <v>59413</v>
      </c>
    </row>
    <row r="59" spans="1:31" x14ac:dyDescent="0.35">
      <c r="A59" s="1" t="s">
        <v>52</v>
      </c>
      <c r="B59" s="1" t="s">
        <v>53</v>
      </c>
      <c r="C59" s="1" t="s">
        <v>54</v>
      </c>
      <c r="D59" s="1">
        <v>93</v>
      </c>
      <c r="E59" s="2" t="s">
        <v>28</v>
      </c>
      <c r="F59" s="1">
        <f t="shared" si="0"/>
        <v>0</v>
      </c>
      <c r="G59" s="1">
        <v>749</v>
      </c>
      <c r="H59" s="1">
        <v>4007751</v>
      </c>
      <c r="I59" s="1">
        <v>7875084</v>
      </c>
      <c r="J59" s="1">
        <v>459908</v>
      </c>
      <c r="K59" s="1">
        <v>622532</v>
      </c>
      <c r="L59" s="1">
        <v>0</v>
      </c>
      <c r="M59" s="1">
        <v>12374275</v>
      </c>
      <c r="N59" s="1">
        <v>591000</v>
      </c>
      <c r="O59" s="1">
        <v>1</v>
      </c>
      <c r="P59" s="1" t="s">
        <v>55</v>
      </c>
      <c r="Q59" s="1">
        <f t="shared" si="1"/>
        <v>591000</v>
      </c>
      <c r="R59" s="1" t="s">
        <v>56</v>
      </c>
      <c r="S59" s="1">
        <f t="shared" si="2"/>
        <v>0</v>
      </c>
      <c r="T59" s="1">
        <v>-116440</v>
      </c>
      <c r="U59" s="1">
        <v>-88184</v>
      </c>
      <c r="V59" s="1">
        <v>-25470</v>
      </c>
      <c r="W59" s="1" t="s">
        <v>56</v>
      </c>
      <c r="X59" s="1">
        <f t="shared" si="3"/>
        <v>0</v>
      </c>
      <c r="Y59" s="1" t="s">
        <v>56</v>
      </c>
      <c r="Z59" s="1">
        <f t="shared" si="4"/>
        <v>0</v>
      </c>
      <c r="AA59" s="1">
        <v>-230094</v>
      </c>
      <c r="AB59" s="1" t="s">
        <v>57</v>
      </c>
      <c r="AC59" s="1">
        <f t="shared" si="5"/>
        <v>187229</v>
      </c>
      <c r="AD59" s="1" t="s">
        <v>58</v>
      </c>
      <c r="AE59" s="1">
        <f t="shared" si="6"/>
        <v>123636</v>
      </c>
    </row>
    <row r="60" spans="1:31" x14ac:dyDescent="0.35">
      <c r="A60" s="1" t="s">
        <v>67</v>
      </c>
      <c r="B60" s="1" t="s">
        <v>68</v>
      </c>
      <c r="C60" s="1" t="s">
        <v>54</v>
      </c>
      <c r="D60" s="1">
        <v>79</v>
      </c>
      <c r="E60" s="2" t="s">
        <v>28</v>
      </c>
      <c r="F60" s="1">
        <f t="shared" si="0"/>
        <v>0</v>
      </c>
      <c r="G60" s="1">
        <v>0</v>
      </c>
      <c r="H60" s="1">
        <v>0</v>
      </c>
      <c r="I60" s="1">
        <v>1645000</v>
      </c>
      <c r="J60" s="1">
        <v>57000</v>
      </c>
      <c r="K60" s="1">
        <v>91000</v>
      </c>
      <c r="L60" s="1">
        <v>0</v>
      </c>
      <c r="M60" s="1">
        <v>1793000</v>
      </c>
      <c r="N60" s="1">
        <v>0</v>
      </c>
      <c r="O60" s="1">
        <v>1</v>
      </c>
      <c r="P60" s="1" t="s">
        <v>69</v>
      </c>
      <c r="Q60" s="1">
        <f t="shared" si="1"/>
        <v>16223</v>
      </c>
      <c r="R60" s="1" t="s">
        <v>56</v>
      </c>
      <c r="S60" s="1">
        <f t="shared" si="2"/>
        <v>0</v>
      </c>
      <c r="T60" s="1">
        <v>0</v>
      </c>
      <c r="U60" s="1">
        <v>0</v>
      </c>
      <c r="V60" s="1">
        <v>0</v>
      </c>
      <c r="W60" s="1" t="s">
        <v>56</v>
      </c>
      <c r="X60" s="1">
        <f t="shared" si="3"/>
        <v>0</v>
      </c>
      <c r="Y60" s="1" t="s">
        <v>56</v>
      </c>
      <c r="Z60" s="1">
        <f t="shared" si="4"/>
        <v>0</v>
      </c>
      <c r="AA60" s="1">
        <v>0</v>
      </c>
      <c r="AB60" s="1" t="s">
        <v>70</v>
      </c>
      <c r="AC60" s="1">
        <f t="shared" si="5"/>
        <v>22629</v>
      </c>
      <c r="AD60" s="1" t="s">
        <v>71</v>
      </c>
      <c r="AE60" s="1">
        <f t="shared" si="6"/>
        <v>70135</v>
      </c>
    </row>
    <row r="61" spans="1:31" x14ac:dyDescent="0.35">
      <c r="A61" s="1" t="s">
        <v>188</v>
      </c>
      <c r="B61" s="1" t="s">
        <v>189</v>
      </c>
      <c r="C61" s="1" t="s">
        <v>54</v>
      </c>
      <c r="D61" s="1">
        <v>20</v>
      </c>
      <c r="E61" s="2" t="s">
        <v>28</v>
      </c>
      <c r="F61" s="1">
        <f t="shared" si="0"/>
        <v>0</v>
      </c>
      <c r="G61" s="1">
        <v>1000</v>
      </c>
      <c r="H61" s="1">
        <v>2310976</v>
      </c>
      <c r="I61" s="1">
        <v>11961684</v>
      </c>
      <c r="J61" s="1">
        <v>1705691</v>
      </c>
      <c r="K61" s="1">
        <v>0</v>
      </c>
      <c r="L61" s="1">
        <v>1514000</v>
      </c>
      <c r="M61" s="1">
        <v>7795351</v>
      </c>
      <c r="N61" s="1">
        <v>6669000</v>
      </c>
      <c r="O61" s="1">
        <v>0</v>
      </c>
      <c r="P61" s="1" t="s">
        <v>28</v>
      </c>
      <c r="Q61" s="1">
        <f t="shared" si="1"/>
        <v>0</v>
      </c>
      <c r="R61" s="1" t="s">
        <v>56</v>
      </c>
      <c r="S61" s="1">
        <f t="shared" si="2"/>
        <v>0</v>
      </c>
      <c r="T61" s="1">
        <v>0</v>
      </c>
      <c r="U61" s="1">
        <v>0</v>
      </c>
      <c r="V61" s="1">
        <v>0</v>
      </c>
      <c r="W61" s="1" t="s">
        <v>190</v>
      </c>
      <c r="X61" s="1">
        <f t="shared" si="3"/>
        <v>-1324944</v>
      </c>
      <c r="Y61" s="1" t="s">
        <v>56</v>
      </c>
      <c r="Z61" s="1">
        <f t="shared" si="4"/>
        <v>0</v>
      </c>
      <c r="AA61" s="1">
        <v>-1324944</v>
      </c>
      <c r="AB61" s="1" t="s">
        <v>191</v>
      </c>
      <c r="AC61" s="1">
        <f t="shared" si="5"/>
        <v>1358128</v>
      </c>
      <c r="AD61" s="1" t="s">
        <v>192</v>
      </c>
      <c r="AE61" s="1">
        <f t="shared" si="6"/>
        <v>442836</v>
      </c>
    </row>
    <row r="62" spans="1:31" x14ac:dyDescent="0.35">
      <c r="A62" s="1" t="s">
        <v>376</v>
      </c>
      <c r="B62" s="1" t="s">
        <v>377</v>
      </c>
      <c r="C62" s="1" t="s">
        <v>54</v>
      </c>
      <c r="D62" s="1">
        <v>2</v>
      </c>
      <c r="E62" s="2" t="s">
        <v>378</v>
      </c>
      <c r="F62" s="1">
        <f t="shared" si="0"/>
        <v>9957</v>
      </c>
      <c r="G62" s="1">
        <v>9191</v>
      </c>
      <c r="H62" s="1">
        <v>1367000</v>
      </c>
      <c r="I62" s="1">
        <v>2916000</v>
      </c>
      <c r="J62" s="1">
        <v>733000</v>
      </c>
      <c r="K62" s="1">
        <v>0</v>
      </c>
      <c r="L62" s="1">
        <v>0</v>
      </c>
      <c r="M62" s="1">
        <v>5016000</v>
      </c>
      <c r="N62" s="1">
        <v>0</v>
      </c>
      <c r="O62" s="1">
        <v>1</v>
      </c>
      <c r="P62" s="1" t="s">
        <v>379</v>
      </c>
      <c r="Q62" s="1">
        <f t="shared" si="1"/>
        <v>147000</v>
      </c>
      <c r="R62" s="1" t="s">
        <v>56</v>
      </c>
      <c r="S62" s="1">
        <f t="shared" si="2"/>
        <v>0</v>
      </c>
      <c r="T62" s="1">
        <v>-520302</v>
      </c>
      <c r="U62" s="1">
        <v>-87009</v>
      </c>
      <c r="V62" s="1">
        <v>0</v>
      </c>
      <c r="W62" s="1" t="s">
        <v>380</v>
      </c>
      <c r="X62" s="1">
        <f t="shared" si="3"/>
        <v>-1192346</v>
      </c>
      <c r="Y62" s="1" t="s">
        <v>381</v>
      </c>
      <c r="Z62" s="1">
        <f t="shared" si="4"/>
        <v>-170600</v>
      </c>
      <c r="AA62" s="1">
        <v>-1970257</v>
      </c>
      <c r="AB62" s="1" t="s">
        <v>382</v>
      </c>
      <c r="AC62" s="1">
        <f t="shared" si="5"/>
        <v>1404015</v>
      </c>
      <c r="AD62" s="1" t="s">
        <v>383</v>
      </c>
      <c r="AE62" s="1">
        <f t="shared" si="6"/>
        <v>63055</v>
      </c>
    </row>
    <row r="63" spans="1:31" x14ac:dyDescent="0.35">
      <c r="A63" s="1" t="s">
        <v>435</v>
      </c>
      <c r="B63" s="1" t="s">
        <v>436</v>
      </c>
      <c r="C63" s="1" t="s">
        <v>54</v>
      </c>
      <c r="D63" s="1">
        <v>143</v>
      </c>
      <c r="E63" s="2" t="s">
        <v>437</v>
      </c>
      <c r="F63" s="1">
        <f t="shared" si="0"/>
        <v>9866</v>
      </c>
      <c r="G63" s="1">
        <v>738</v>
      </c>
      <c r="H63" s="1">
        <v>0</v>
      </c>
      <c r="I63" s="1">
        <v>22474421</v>
      </c>
      <c r="J63" s="1">
        <v>5476613</v>
      </c>
      <c r="K63" s="1">
        <v>108529</v>
      </c>
      <c r="L63" s="1">
        <v>0</v>
      </c>
      <c r="M63" s="1">
        <v>28059563</v>
      </c>
      <c r="N63" s="1">
        <v>0</v>
      </c>
      <c r="O63" s="1">
        <v>0</v>
      </c>
      <c r="P63" s="1" t="s">
        <v>28</v>
      </c>
      <c r="Q63" s="1">
        <f t="shared" si="1"/>
        <v>0</v>
      </c>
      <c r="R63" s="1" t="s">
        <v>56</v>
      </c>
      <c r="S63" s="1">
        <f t="shared" si="2"/>
        <v>0</v>
      </c>
      <c r="T63" s="1">
        <v>0</v>
      </c>
      <c r="U63" s="1">
        <v>0</v>
      </c>
      <c r="V63" s="1">
        <v>0</v>
      </c>
      <c r="W63" s="1" t="s">
        <v>56</v>
      </c>
      <c r="X63" s="1">
        <f t="shared" si="3"/>
        <v>0</v>
      </c>
      <c r="Y63" s="1" t="s">
        <v>56</v>
      </c>
      <c r="Z63" s="1">
        <f t="shared" si="4"/>
        <v>0</v>
      </c>
      <c r="AA63" s="1">
        <v>0</v>
      </c>
      <c r="AB63" s="1" t="s">
        <v>438</v>
      </c>
      <c r="AC63" s="1">
        <f t="shared" si="5"/>
        <v>46176</v>
      </c>
      <c r="AD63" s="1" t="s">
        <v>439</v>
      </c>
      <c r="AE63" s="1">
        <f t="shared" si="6"/>
        <v>311450</v>
      </c>
    </row>
    <row r="64" spans="1:31" x14ac:dyDescent="0.35">
      <c r="A64" s="1" t="s">
        <v>505</v>
      </c>
      <c r="B64" s="1" t="s">
        <v>506</v>
      </c>
      <c r="C64" s="1" t="s">
        <v>54</v>
      </c>
      <c r="D64" s="1">
        <v>77</v>
      </c>
      <c r="E64" s="2" t="s">
        <v>28</v>
      </c>
      <c r="F64" s="1">
        <f t="shared" si="0"/>
        <v>0</v>
      </c>
      <c r="G64" s="1">
        <v>13913</v>
      </c>
      <c r="H64" s="1">
        <v>17076227</v>
      </c>
      <c r="I64" s="1">
        <v>8626246</v>
      </c>
      <c r="J64" s="1">
        <v>1743507</v>
      </c>
      <c r="K64" s="1">
        <v>0</v>
      </c>
      <c r="L64" s="1">
        <v>0</v>
      </c>
      <c r="M64" s="1">
        <v>20358980</v>
      </c>
      <c r="N64" s="1">
        <v>7087000</v>
      </c>
      <c r="O64" s="1">
        <v>1</v>
      </c>
      <c r="P64" s="1" t="s">
        <v>507</v>
      </c>
      <c r="Q64" s="1">
        <f t="shared" si="1"/>
        <v>58000</v>
      </c>
      <c r="R64" s="1" t="s">
        <v>508</v>
      </c>
      <c r="S64" s="1">
        <f t="shared" si="2"/>
        <v>-354691</v>
      </c>
      <c r="T64" s="1">
        <v>-693461</v>
      </c>
      <c r="U64" s="1">
        <v>-786677</v>
      </c>
      <c r="V64" s="1">
        <v>0</v>
      </c>
      <c r="W64" s="1" t="s">
        <v>509</v>
      </c>
      <c r="X64" s="1">
        <f t="shared" si="3"/>
        <v>-1208048</v>
      </c>
      <c r="Y64" s="1" t="s">
        <v>510</v>
      </c>
      <c r="Z64" s="1">
        <f t="shared" si="4"/>
        <v>-467107</v>
      </c>
      <c r="AA64" s="1">
        <v>-3509984</v>
      </c>
      <c r="AB64" s="1" t="s">
        <v>511</v>
      </c>
      <c r="AC64" s="1">
        <f t="shared" si="5"/>
        <v>961188</v>
      </c>
      <c r="AD64" s="1" t="s">
        <v>512</v>
      </c>
      <c r="AE64" s="1">
        <f t="shared" si="6"/>
        <v>130902</v>
      </c>
    </row>
    <row r="65" spans="1:31" x14ac:dyDescent="0.35">
      <c r="A65" s="1" t="s">
        <v>513</v>
      </c>
      <c r="B65" s="1" t="s">
        <v>514</v>
      </c>
      <c r="C65" s="1" t="s">
        <v>54</v>
      </c>
      <c r="D65" s="1">
        <v>7</v>
      </c>
      <c r="E65" s="2" t="s">
        <v>28</v>
      </c>
      <c r="F65" s="1">
        <f t="shared" si="0"/>
        <v>0</v>
      </c>
      <c r="G65" s="1">
        <v>7426</v>
      </c>
      <c r="H65" s="1">
        <v>34249716</v>
      </c>
      <c r="I65" s="1">
        <v>9434696</v>
      </c>
      <c r="J65" s="1">
        <v>5293492</v>
      </c>
      <c r="K65" s="1">
        <v>541803</v>
      </c>
      <c r="L65" s="1">
        <v>0</v>
      </c>
      <c r="M65" s="1">
        <v>46347451</v>
      </c>
      <c r="N65" s="1">
        <v>3172256</v>
      </c>
      <c r="O65" s="1">
        <v>5</v>
      </c>
      <c r="P65" s="1" t="s">
        <v>515</v>
      </c>
      <c r="Q65" s="1">
        <f t="shared" si="1"/>
        <v>76768</v>
      </c>
      <c r="R65" s="1" t="s">
        <v>516</v>
      </c>
      <c r="S65" s="1">
        <f t="shared" si="2"/>
        <v>-128990</v>
      </c>
      <c r="T65" s="1">
        <v>-282183</v>
      </c>
      <c r="U65" s="1">
        <v>-40673</v>
      </c>
      <c r="V65" s="1">
        <v>0</v>
      </c>
      <c r="W65" s="1" t="s">
        <v>517</v>
      </c>
      <c r="X65" s="1">
        <f t="shared" si="3"/>
        <v>-2451337</v>
      </c>
      <c r="Y65" s="1" t="s">
        <v>518</v>
      </c>
      <c r="Z65" s="1">
        <f t="shared" si="4"/>
        <v>-957843</v>
      </c>
      <c r="AA65" s="1">
        <v>-3861026</v>
      </c>
      <c r="AB65" s="1" t="s">
        <v>519</v>
      </c>
      <c r="AC65" s="1">
        <f t="shared" si="5"/>
        <v>1008677</v>
      </c>
      <c r="AD65" s="1" t="s">
        <v>520</v>
      </c>
      <c r="AE65" s="1">
        <f t="shared" si="6"/>
        <v>343478</v>
      </c>
    </row>
    <row r="66" spans="1:31" x14ac:dyDescent="0.35">
      <c r="A66" s="1" t="s">
        <v>553</v>
      </c>
      <c r="B66" s="1" t="s">
        <v>554</v>
      </c>
      <c r="C66" s="1" t="s">
        <v>54</v>
      </c>
      <c r="D66" s="1">
        <v>3</v>
      </c>
      <c r="E66" s="2" t="s">
        <v>28</v>
      </c>
      <c r="F66" s="1">
        <f t="shared" ref="F66:F129" si="7">IF(ISNUMBER(VALUE(SUBSTITUTE(SUBSTITUTE(E66,",",""),"£",""))), VALUE(SUBSTITUTE(SUBSTITUTE(E66,",",""),"£","")), 0)</f>
        <v>0</v>
      </c>
      <c r="G66" s="1">
        <v>3239</v>
      </c>
      <c r="H66" s="1">
        <v>11358000</v>
      </c>
      <c r="I66" s="1">
        <v>5741000</v>
      </c>
      <c r="J66" s="1">
        <v>4123000</v>
      </c>
      <c r="K66" s="1">
        <v>0</v>
      </c>
      <c r="L66" s="1">
        <v>0</v>
      </c>
      <c r="M66" s="1">
        <v>21222000</v>
      </c>
      <c r="N66" s="1">
        <v>0</v>
      </c>
      <c r="O66" s="1">
        <v>1</v>
      </c>
      <c r="P66" s="1" t="s">
        <v>422</v>
      </c>
      <c r="Q66" s="1">
        <f t="shared" ref="Q66:Q129" si="8">IF(ISNUMBER(VALUE(SUBSTITUTE(SUBSTITUTE(P66,",",""),"£",""))), VALUE(SUBSTITUTE(SUBSTITUTE(P66,",",""),"£","")), 0)</f>
        <v>30000</v>
      </c>
      <c r="R66" s="1" t="s">
        <v>56</v>
      </c>
      <c r="S66" s="1">
        <f t="shared" ref="S66:S129" si="9">IF(ISNUMBER(VALUE(SUBSTITUTE(SUBSTITUTE(R66,",",""),"£",""))), VALUE(SUBSTITUTE(SUBSTITUTE(R66,",",""),"£","")), 0)</f>
        <v>0</v>
      </c>
      <c r="T66" s="1">
        <v>0</v>
      </c>
      <c r="U66" s="1">
        <v>0</v>
      </c>
      <c r="V66" s="1">
        <v>0</v>
      </c>
      <c r="W66" s="1" t="s">
        <v>555</v>
      </c>
      <c r="X66" s="1">
        <f t="shared" ref="X66:X129" si="10">IF(ISNUMBER(VALUE(SUBSTITUTE(SUBSTITUTE(W66,",",""),"£",""))), VALUE(SUBSTITUTE(SUBSTITUTE(W66,",",""),"£","")), 0)</f>
        <v>-825365</v>
      </c>
      <c r="Y66" s="1" t="s">
        <v>56</v>
      </c>
      <c r="Z66" s="1">
        <f t="shared" ref="Z66:Z129" si="11">IF(ISNUMBER(VALUE(SUBSTITUTE(SUBSTITUTE(Y66,",",""),"£",""))), VALUE(SUBSTITUTE(SUBSTITUTE(Y66,",",""),"£","")), 0)</f>
        <v>0</v>
      </c>
      <c r="AA66" s="1">
        <v>-825365</v>
      </c>
      <c r="AB66" s="1" t="s">
        <v>556</v>
      </c>
      <c r="AC66" s="1">
        <f t="shared" ref="AC66:AC129" si="12">IF(ISNUMBER(VALUE(SUBSTITUTE(SUBSTITUTE(AB66,",",""),"£",""))), VALUE(SUBSTITUTE(SUBSTITUTE(AB66,",",""),"£","")), 0)</f>
        <v>558400</v>
      </c>
      <c r="AD66" s="1" t="s">
        <v>557</v>
      </c>
      <c r="AE66" s="1">
        <f t="shared" ref="AE66:AE129" si="13">IF(ISNUMBER(VALUE(SUBSTITUTE(SUBSTITUTE(AD66,",",""),"£",""))), VALUE(SUBSTITUTE(SUBSTITUTE(AD66,",",""),"£","")), 0)</f>
        <v>60000</v>
      </c>
    </row>
    <row r="67" spans="1:31" x14ac:dyDescent="0.35">
      <c r="A67" s="1" t="s">
        <v>567</v>
      </c>
      <c r="B67" s="1" t="s">
        <v>568</v>
      </c>
      <c r="C67" s="1" t="s">
        <v>54</v>
      </c>
      <c r="D67" s="1">
        <v>4</v>
      </c>
      <c r="E67" s="2" t="s">
        <v>569</v>
      </c>
      <c r="F67" s="1">
        <f t="shared" si="7"/>
        <v>21487</v>
      </c>
      <c r="G67" s="1">
        <v>159</v>
      </c>
      <c r="H67" s="1">
        <v>1308000</v>
      </c>
      <c r="I67" s="1">
        <v>4953000</v>
      </c>
      <c r="J67" s="1">
        <v>6720000</v>
      </c>
      <c r="K67" s="1">
        <v>29000</v>
      </c>
      <c r="L67" s="1">
        <v>5613000</v>
      </c>
      <c r="M67" s="1">
        <v>7397000</v>
      </c>
      <c r="N67" s="1">
        <v>0</v>
      </c>
      <c r="O67" s="1">
        <v>0</v>
      </c>
      <c r="P67" s="1" t="s">
        <v>28</v>
      </c>
      <c r="Q67" s="1">
        <f t="shared" si="8"/>
        <v>0</v>
      </c>
      <c r="R67" s="1" t="s">
        <v>570</v>
      </c>
      <c r="S67" s="1">
        <f t="shared" si="9"/>
        <v>-34141</v>
      </c>
      <c r="T67" s="1">
        <v>-2042527</v>
      </c>
      <c r="U67" s="1">
        <v>-1086574</v>
      </c>
      <c r="V67" s="1">
        <v>0</v>
      </c>
      <c r="W67" s="1" t="s">
        <v>571</v>
      </c>
      <c r="X67" s="1">
        <f t="shared" si="10"/>
        <v>-5925973</v>
      </c>
      <c r="Y67" s="1" t="s">
        <v>572</v>
      </c>
      <c r="Z67" s="1">
        <f t="shared" si="11"/>
        <v>-3236480</v>
      </c>
      <c r="AA67" s="1">
        <v>-12325695</v>
      </c>
      <c r="AB67" s="1" t="s">
        <v>56</v>
      </c>
      <c r="AC67" s="1">
        <f t="shared" si="12"/>
        <v>0</v>
      </c>
      <c r="AD67" s="1" t="s">
        <v>573</v>
      </c>
      <c r="AE67" s="1">
        <f t="shared" si="13"/>
        <v>1582431</v>
      </c>
    </row>
    <row r="68" spans="1:31" x14ac:dyDescent="0.35">
      <c r="A68" s="1" t="s">
        <v>587</v>
      </c>
      <c r="B68" s="1" t="s">
        <v>588</v>
      </c>
      <c r="C68" s="1" t="s">
        <v>54</v>
      </c>
      <c r="D68" s="1">
        <v>1</v>
      </c>
      <c r="E68" s="2" t="s">
        <v>28</v>
      </c>
      <c r="F68" s="1">
        <f t="shared" si="7"/>
        <v>0</v>
      </c>
      <c r="G68" s="1">
        <v>547</v>
      </c>
      <c r="H68" s="1">
        <v>1946769</v>
      </c>
      <c r="I68" s="1">
        <v>60053</v>
      </c>
      <c r="J68" s="1">
        <v>488215</v>
      </c>
      <c r="K68" s="1">
        <v>1865073</v>
      </c>
      <c r="L68" s="1">
        <v>0</v>
      </c>
      <c r="M68" s="1">
        <v>4360110</v>
      </c>
      <c r="N68" s="1">
        <v>0</v>
      </c>
      <c r="O68" s="1">
        <v>0</v>
      </c>
      <c r="P68" s="1" t="s">
        <v>28</v>
      </c>
      <c r="Q68" s="1">
        <f t="shared" si="8"/>
        <v>0</v>
      </c>
      <c r="R68" s="1" t="s">
        <v>589</v>
      </c>
      <c r="S68" s="1">
        <f t="shared" si="9"/>
        <v>7131</v>
      </c>
      <c r="T68" s="1">
        <v>187682</v>
      </c>
      <c r="U68" s="1">
        <v>-146581</v>
      </c>
      <c r="V68" s="1">
        <v>0</v>
      </c>
      <c r="W68" s="1" t="s">
        <v>590</v>
      </c>
      <c r="X68" s="1">
        <f t="shared" si="10"/>
        <v>-269601</v>
      </c>
      <c r="Y68" s="1" t="s">
        <v>56</v>
      </c>
      <c r="Z68" s="1">
        <f t="shared" si="11"/>
        <v>0</v>
      </c>
      <c r="AA68" s="1">
        <v>-221369</v>
      </c>
      <c r="AB68" s="1" t="s">
        <v>591</v>
      </c>
      <c r="AC68" s="1">
        <f t="shared" si="12"/>
        <v>223030</v>
      </c>
      <c r="AD68" s="1" t="s">
        <v>592</v>
      </c>
      <c r="AE68" s="1">
        <f t="shared" si="13"/>
        <v>26016</v>
      </c>
    </row>
    <row r="69" spans="1:31" x14ac:dyDescent="0.35">
      <c r="A69" s="1" t="s">
        <v>593</v>
      </c>
      <c r="B69" s="1" t="s">
        <v>594</v>
      </c>
      <c r="C69" s="1" t="s">
        <v>54</v>
      </c>
      <c r="D69" s="1">
        <v>22</v>
      </c>
      <c r="E69" s="2" t="s">
        <v>595</v>
      </c>
      <c r="F69" s="1">
        <f t="shared" si="7"/>
        <v>24462</v>
      </c>
      <c r="G69" s="1">
        <v>35935</v>
      </c>
      <c r="H69" s="1">
        <v>0</v>
      </c>
      <c r="I69" s="1">
        <v>29898856</v>
      </c>
      <c r="J69" s="1">
        <v>3858580</v>
      </c>
      <c r="K69" s="1">
        <v>148738</v>
      </c>
      <c r="L69" s="1">
        <v>0</v>
      </c>
      <c r="M69" s="1">
        <v>21191464</v>
      </c>
      <c r="N69" s="1">
        <v>12714710</v>
      </c>
      <c r="O69" s="1">
        <v>4</v>
      </c>
      <c r="P69" s="1" t="s">
        <v>596</v>
      </c>
      <c r="Q69" s="1">
        <f t="shared" si="8"/>
        <v>656026</v>
      </c>
      <c r="R69" s="1" t="s">
        <v>597</v>
      </c>
      <c r="S69" s="1">
        <f t="shared" si="9"/>
        <v>-163696</v>
      </c>
      <c r="T69" s="1">
        <v>-223684</v>
      </c>
      <c r="U69" s="1">
        <v>-437665</v>
      </c>
      <c r="V69" s="1">
        <v>-10094</v>
      </c>
      <c r="W69" s="1" t="s">
        <v>598</v>
      </c>
      <c r="X69" s="1">
        <f t="shared" si="10"/>
        <v>-1354421</v>
      </c>
      <c r="Y69" s="1" t="s">
        <v>56</v>
      </c>
      <c r="Z69" s="1">
        <f t="shared" si="11"/>
        <v>0</v>
      </c>
      <c r="AA69" s="1">
        <v>-2189560</v>
      </c>
      <c r="AB69" s="1" t="s">
        <v>599</v>
      </c>
      <c r="AC69" s="1">
        <f t="shared" si="12"/>
        <v>949917</v>
      </c>
      <c r="AD69" s="1" t="s">
        <v>600</v>
      </c>
      <c r="AE69" s="1">
        <f t="shared" si="13"/>
        <v>60997</v>
      </c>
    </row>
    <row r="70" spans="1:31" x14ac:dyDescent="0.35">
      <c r="A70" s="1" t="s">
        <v>601</v>
      </c>
      <c r="B70" s="1" t="s">
        <v>602</v>
      </c>
      <c r="C70" s="1" t="s">
        <v>54</v>
      </c>
      <c r="D70" s="1">
        <v>19</v>
      </c>
      <c r="E70" s="2" t="s">
        <v>28</v>
      </c>
      <c r="F70" s="1">
        <f t="shared" si="7"/>
        <v>0</v>
      </c>
      <c r="G70" s="1">
        <v>5890</v>
      </c>
      <c r="H70" s="1">
        <v>24167148</v>
      </c>
      <c r="I70" s="1">
        <v>277918</v>
      </c>
      <c r="J70" s="1">
        <v>0</v>
      </c>
      <c r="K70" s="1">
        <v>0</v>
      </c>
      <c r="L70" s="1">
        <v>0</v>
      </c>
      <c r="M70" s="1">
        <v>24445066</v>
      </c>
      <c r="N70" s="1">
        <v>0</v>
      </c>
      <c r="O70" s="1">
        <v>0</v>
      </c>
      <c r="P70" s="1" t="s">
        <v>28</v>
      </c>
      <c r="Q70" s="1">
        <f t="shared" si="8"/>
        <v>0</v>
      </c>
      <c r="R70" s="1" t="s">
        <v>603</v>
      </c>
      <c r="S70" s="1">
        <f t="shared" si="9"/>
        <v>-8024</v>
      </c>
      <c r="T70" s="1">
        <v>-48601</v>
      </c>
      <c r="U70" s="1">
        <v>-10291</v>
      </c>
      <c r="V70" s="1">
        <v>-650</v>
      </c>
      <c r="W70" s="1" t="s">
        <v>604</v>
      </c>
      <c r="X70" s="1">
        <f t="shared" si="10"/>
        <v>-520002</v>
      </c>
      <c r="Y70" s="1" t="s">
        <v>605</v>
      </c>
      <c r="Z70" s="1">
        <f t="shared" si="11"/>
        <v>-345065</v>
      </c>
      <c r="AA70" s="1">
        <v>-932633</v>
      </c>
      <c r="AB70" s="1" t="s">
        <v>606</v>
      </c>
      <c r="AC70" s="1">
        <f t="shared" si="12"/>
        <v>939236</v>
      </c>
      <c r="AD70" s="1" t="s">
        <v>607</v>
      </c>
      <c r="AE70" s="1">
        <f t="shared" si="13"/>
        <v>237992</v>
      </c>
    </row>
    <row r="71" spans="1:31" x14ac:dyDescent="0.35">
      <c r="A71" s="1" t="s">
        <v>608</v>
      </c>
      <c r="B71" s="1" t="s">
        <v>609</v>
      </c>
      <c r="C71" s="1" t="s">
        <v>54</v>
      </c>
      <c r="D71" s="1">
        <v>22</v>
      </c>
      <c r="E71" s="2" t="s">
        <v>610</v>
      </c>
      <c r="F71" s="1">
        <f t="shared" si="7"/>
        <v>14865</v>
      </c>
      <c r="G71" s="1">
        <v>1435</v>
      </c>
      <c r="H71" s="1">
        <v>18644000</v>
      </c>
      <c r="I71" s="1">
        <v>651000</v>
      </c>
      <c r="J71" s="1">
        <v>3086000</v>
      </c>
      <c r="K71" s="1">
        <v>338000</v>
      </c>
      <c r="L71" s="1">
        <v>0</v>
      </c>
      <c r="M71" s="1">
        <v>22717008</v>
      </c>
      <c r="N71" s="1">
        <v>1992</v>
      </c>
      <c r="O71" s="1">
        <v>0</v>
      </c>
      <c r="P71" s="1" t="s">
        <v>28</v>
      </c>
      <c r="Q71" s="1">
        <f t="shared" si="8"/>
        <v>0</v>
      </c>
      <c r="R71" s="1" t="s">
        <v>611</v>
      </c>
      <c r="S71" s="1">
        <f t="shared" si="9"/>
        <v>-68561</v>
      </c>
      <c r="T71" s="1">
        <v>-185233</v>
      </c>
      <c r="U71" s="1">
        <v>-804595</v>
      </c>
      <c r="V71" s="1">
        <v>0</v>
      </c>
      <c r="W71" s="1" t="s">
        <v>612</v>
      </c>
      <c r="X71" s="1">
        <f t="shared" si="10"/>
        <v>-596928</v>
      </c>
      <c r="Y71" s="1" t="s">
        <v>613</v>
      </c>
      <c r="Z71" s="1">
        <f t="shared" si="11"/>
        <v>-242197</v>
      </c>
      <c r="AA71" s="1">
        <v>-1897514</v>
      </c>
      <c r="AB71" s="1" t="s">
        <v>56</v>
      </c>
      <c r="AC71" s="1">
        <f t="shared" si="12"/>
        <v>0</v>
      </c>
      <c r="AD71" s="1" t="s">
        <v>614</v>
      </c>
      <c r="AE71" s="1">
        <f t="shared" si="13"/>
        <v>1502104</v>
      </c>
    </row>
    <row r="72" spans="1:31" x14ac:dyDescent="0.35">
      <c r="A72" s="1" t="s">
        <v>615</v>
      </c>
      <c r="B72" s="1" t="s">
        <v>616</v>
      </c>
      <c r="C72" s="1" t="s">
        <v>54</v>
      </c>
      <c r="D72" s="1">
        <v>30</v>
      </c>
      <c r="E72" s="2" t="s">
        <v>28</v>
      </c>
      <c r="F72" s="1">
        <f t="shared" si="7"/>
        <v>0</v>
      </c>
      <c r="G72" s="1">
        <v>0</v>
      </c>
      <c r="H72" s="1">
        <v>0</v>
      </c>
      <c r="I72" s="1">
        <v>2318000</v>
      </c>
      <c r="J72" s="1">
        <v>395000</v>
      </c>
      <c r="K72" s="1">
        <v>582000</v>
      </c>
      <c r="L72" s="1">
        <v>0</v>
      </c>
      <c r="M72" s="1">
        <v>3295000</v>
      </c>
      <c r="N72" s="1">
        <v>0</v>
      </c>
      <c r="O72" s="1">
        <v>0</v>
      </c>
      <c r="P72" s="1" t="s">
        <v>28</v>
      </c>
      <c r="Q72" s="1">
        <f t="shared" si="8"/>
        <v>0</v>
      </c>
      <c r="R72" s="1" t="s">
        <v>56</v>
      </c>
      <c r="S72" s="1">
        <f t="shared" si="9"/>
        <v>0</v>
      </c>
      <c r="T72" s="1">
        <v>0</v>
      </c>
      <c r="U72" s="1">
        <v>0</v>
      </c>
      <c r="V72" s="1">
        <v>0</v>
      </c>
      <c r="W72" s="1" t="s">
        <v>56</v>
      </c>
      <c r="X72" s="1">
        <f t="shared" si="10"/>
        <v>0</v>
      </c>
      <c r="Y72" s="1" t="s">
        <v>56</v>
      </c>
      <c r="Z72" s="1">
        <f t="shared" si="11"/>
        <v>0</v>
      </c>
      <c r="AA72" s="1">
        <v>0</v>
      </c>
      <c r="AB72" s="1" t="s">
        <v>617</v>
      </c>
      <c r="AC72" s="1">
        <f t="shared" si="12"/>
        <v>77210</v>
      </c>
      <c r="AD72" s="1" t="s">
        <v>56</v>
      </c>
      <c r="AE72" s="1">
        <f t="shared" si="13"/>
        <v>0</v>
      </c>
    </row>
    <row r="73" spans="1:31" x14ac:dyDescent="0.35">
      <c r="A73" s="1" t="s">
        <v>669</v>
      </c>
      <c r="B73" s="1" t="s">
        <v>670</v>
      </c>
      <c r="C73" s="1" t="s">
        <v>54</v>
      </c>
      <c r="D73" s="1">
        <v>18</v>
      </c>
      <c r="E73" s="2" t="s">
        <v>28</v>
      </c>
      <c r="F73" s="1">
        <f t="shared" si="7"/>
        <v>0</v>
      </c>
      <c r="G73" s="1">
        <v>3743</v>
      </c>
      <c r="H73" s="1">
        <v>0</v>
      </c>
      <c r="I73" s="1">
        <v>2059000</v>
      </c>
      <c r="J73" s="1">
        <v>1275000</v>
      </c>
      <c r="K73" s="1">
        <v>0</v>
      </c>
      <c r="L73" s="1">
        <v>1253000</v>
      </c>
      <c r="M73" s="1">
        <v>2081000</v>
      </c>
      <c r="N73" s="1">
        <v>0</v>
      </c>
      <c r="O73" s="1">
        <v>0</v>
      </c>
      <c r="P73" s="1" t="s">
        <v>28</v>
      </c>
      <c r="Q73" s="1">
        <f t="shared" si="8"/>
        <v>0</v>
      </c>
      <c r="R73" s="1" t="s">
        <v>671</v>
      </c>
      <c r="S73" s="1">
        <f t="shared" si="9"/>
        <v>-103783</v>
      </c>
      <c r="T73" s="1">
        <v>-451882</v>
      </c>
      <c r="U73" s="1">
        <v>-355855</v>
      </c>
      <c r="V73" s="1">
        <v>0</v>
      </c>
      <c r="W73" s="1" t="s">
        <v>672</v>
      </c>
      <c r="X73" s="1">
        <f t="shared" si="10"/>
        <v>-814894</v>
      </c>
      <c r="Y73" s="1" t="s">
        <v>673</v>
      </c>
      <c r="Z73" s="1">
        <f t="shared" si="11"/>
        <v>-47532</v>
      </c>
      <c r="AA73" s="1">
        <v>-1773946</v>
      </c>
      <c r="AB73" s="1" t="s">
        <v>674</v>
      </c>
      <c r="AC73" s="1">
        <f t="shared" si="12"/>
        <v>1656858</v>
      </c>
      <c r="AD73" s="1" t="s">
        <v>56</v>
      </c>
      <c r="AE73" s="1">
        <f t="shared" si="13"/>
        <v>0</v>
      </c>
    </row>
    <row r="74" spans="1:31" x14ac:dyDescent="0.35">
      <c r="A74" s="1" t="s">
        <v>687</v>
      </c>
      <c r="B74" s="1" t="s">
        <v>688</v>
      </c>
      <c r="C74" s="1" t="s">
        <v>54</v>
      </c>
      <c r="D74" s="1">
        <v>12</v>
      </c>
      <c r="E74" s="2" t="s">
        <v>28</v>
      </c>
      <c r="F74" s="1">
        <f t="shared" si="7"/>
        <v>0</v>
      </c>
      <c r="G74" s="1">
        <v>9418</v>
      </c>
      <c r="H74" s="1">
        <v>1732752</v>
      </c>
      <c r="I74" s="1">
        <v>2412863</v>
      </c>
      <c r="J74" s="1">
        <v>2641799</v>
      </c>
      <c r="K74" s="1">
        <v>6909</v>
      </c>
      <c r="L74" s="1">
        <v>0</v>
      </c>
      <c r="M74" s="1">
        <v>6394127</v>
      </c>
      <c r="N74" s="1">
        <v>400196</v>
      </c>
      <c r="O74" s="1">
        <v>1</v>
      </c>
      <c r="P74" s="1" t="s">
        <v>689</v>
      </c>
      <c r="Q74" s="1">
        <f t="shared" si="8"/>
        <v>710000</v>
      </c>
      <c r="R74" s="1" t="s">
        <v>690</v>
      </c>
      <c r="S74" s="1">
        <f t="shared" si="9"/>
        <v>-44377</v>
      </c>
      <c r="T74" s="1">
        <v>-203845</v>
      </c>
      <c r="U74" s="1">
        <v>-254007</v>
      </c>
      <c r="V74" s="1">
        <v>0</v>
      </c>
      <c r="W74" s="1" t="s">
        <v>691</v>
      </c>
      <c r="X74" s="1">
        <f t="shared" si="10"/>
        <v>-927057</v>
      </c>
      <c r="Y74" s="1" t="s">
        <v>56</v>
      </c>
      <c r="Z74" s="1">
        <f t="shared" si="11"/>
        <v>0</v>
      </c>
      <c r="AA74" s="1">
        <v>-1429286</v>
      </c>
      <c r="AB74" s="1" t="s">
        <v>692</v>
      </c>
      <c r="AC74" s="1">
        <f t="shared" si="12"/>
        <v>935270</v>
      </c>
      <c r="AD74" s="1" t="s">
        <v>693</v>
      </c>
      <c r="AE74" s="1">
        <f t="shared" si="13"/>
        <v>537</v>
      </c>
    </row>
    <row r="75" spans="1:31" x14ac:dyDescent="0.35">
      <c r="A75" s="1" t="s">
        <v>694</v>
      </c>
      <c r="B75" s="1" t="s">
        <v>695</v>
      </c>
      <c r="C75" s="1" t="s">
        <v>54</v>
      </c>
      <c r="D75" s="1">
        <v>7</v>
      </c>
      <c r="E75" s="2" t="s">
        <v>696</v>
      </c>
      <c r="F75" s="1">
        <f t="shared" si="7"/>
        <v>805</v>
      </c>
      <c r="G75" s="1">
        <v>4438</v>
      </c>
      <c r="H75" s="1">
        <v>719817</v>
      </c>
      <c r="I75" s="1">
        <v>11582829</v>
      </c>
      <c r="J75" s="1">
        <v>4518433</v>
      </c>
      <c r="K75" s="1">
        <v>1224566</v>
      </c>
      <c r="L75" s="1">
        <v>0</v>
      </c>
      <c r="M75" s="1">
        <v>8282891</v>
      </c>
      <c r="N75" s="1">
        <v>9762754</v>
      </c>
      <c r="O75" s="1">
        <v>0</v>
      </c>
      <c r="P75" s="1" t="s">
        <v>28</v>
      </c>
      <c r="Q75" s="1">
        <f t="shared" si="8"/>
        <v>0</v>
      </c>
      <c r="R75" s="1" t="s">
        <v>697</v>
      </c>
      <c r="S75" s="1">
        <f t="shared" si="9"/>
        <v>-281370</v>
      </c>
      <c r="T75" s="1">
        <v>-45477</v>
      </c>
      <c r="U75" s="1">
        <v>0</v>
      </c>
      <c r="V75" s="1">
        <v>0</v>
      </c>
      <c r="W75" s="1" t="s">
        <v>698</v>
      </c>
      <c r="X75" s="1">
        <f t="shared" si="10"/>
        <v>-982122</v>
      </c>
      <c r="Y75" s="1" t="s">
        <v>56</v>
      </c>
      <c r="Z75" s="1">
        <f t="shared" si="11"/>
        <v>0</v>
      </c>
      <c r="AA75" s="1">
        <v>-1308969</v>
      </c>
      <c r="AB75" s="1" t="s">
        <v>699</v>
      </c>
      <c r="AC75" s="1">
        <f t="shared" si="12"/>
        <v>1242347</v>
      </c>
      <c r="AD75" s="1" t="s">
        <v>700</v>
      </c>
      <c r="AE75" s="1">
        <f t="shared" si="13"/>
        <v>222452</v>
      </c>
    </row>
    <row r="76" spans="1:31" x14ac:dyDescent="0.35">
      <c r="A76" s="1" t="s">
        <v>715</v>
      </c>
      <c r="B76" s="1" t="s">
        <v>716</v>
      </c>
      <c r="C76" s="1" t="s">
        <v>54</v>
      </c>
      <c r="D76" s="1">
        <v>77</v>
      </c>
      <c r="E76" s="2" t="s">
        <v>28</v>
      </c>
      <c r="F76" s="1">
        <f t="shared" si="7"/>
        <v>0</v>
      </c>
      <c r="G76" s="1">
        <v>5639</v>
      </c>
      <c r="H76" s="1">
        <v>0</v>
      </c>
      <c r="I76" s="1">
        <v>2796236</v>
      </c>
      <c r="J76" s="1">
        <v>1067893</v>
      </c>
      <c r="K76" s="1">
        <v>527168</v>
      </c>
      <c r="L76" s="1">
        <v>0</v>
      </c>
      <c r="M76" s="1">
        <v>4391297</v>
      </c>
      <c r="N76" s="1">
        <v>0</v>
      </c>
      <c r="O76" s="1">
        <v>0</v>
      </c>
      <c r="P76" s="1" t="s">
        <v>28</v>
      </c>
      <c r="Q76" s="1">
        <f t="shared" si="8"/>
        <v>0</v>
      </c>
      <c r="R76" s="1" t="s">
        <v>56</v>
      </c>
      <c r="S76" s="1">
        <f t="shared" si="9"/>
        <v>0</v>
      </c>
      <c r="T76" s="1">
        <v>0</v>
      </c>
      <c r="U76" s="1">
        <v>0</v>
      </c>
      <c r="V76" s="1">
        <v>0</v>
      </c>
      <c r="W76" s="1" t="s">
        <v>56</v>
      </c>
      <c r="X76" s="1">
        <f t="shared" si="10"/>
        <v>0</v>
      </c>
      <c r="Y76" s="1" t="s">
        <v>56</v>
      </c>
      <c r="Z76" s="1">
        <f t="shared" si="11"/>
        <v>0</v>
      </c>
      <c r="AA76" s="1">
        <v>0</v>
      </c>
      <c r="AB76" s="1" t="s">
        <v>717</v>
      </c>
      <c r="AC76" s="1">
        <f t="shared" si="12"/>
        <v>1048824</v>
      </c>
      <c r="AD76" s="1" t="s">
        <v>718</v>
      </c>
      <c r="AE76" s="1">
        <f t="shared" si="13"/>
        <v>156957</v>
      </c>
    </row>
    <row r="77" spans="1:31" x14ac:dyDescent="0.35">
      <c r="A77" s="1" t="s">
        <v>736</v>
      </c>
      <c r="B77" s="1" t="s">
        <v>737</v>
      </c>
      <c r="C77" s="1" t="s">
        <v>54</v>
      </c>
      <c r="D77" s="1">
        <v>55</v>
      </c>
      <c r="E77" s="2" t="s">
        <v>28</v>
      </c>
      <c r="F77" s="1">
        <f t="shared" si="7"/>
        <v>0</v>
      </c>
      <c r="G77" s="1">
        <v>683</v>
      </c>
      <c r="H77" s="1">
        <v>8255001</v>
      </c>
      <c r="I77" s="1">
        <v>3373000</v>
      </c>
      <c r="J77" s="1">
        <v>174000</v>
      </c>
      <c r="K77" s="1">
        <v>304000</v>
      </c>
      <c r="L77" s="1">
        <v>0</v>
      </c>
      <c r="M77" s="1">
        <v>12106001</v>
      </c>
      <c r="N77" s="1">
        <v>0</v>
      </c>
      <c r="O77" s="1">
        <v>10</v>
      </c>
      <c r="P77" s="1" t="s">
        <v>738</v>
      </c>
      <c r="Q77" s="1">
        <f t="shared" si="8"/>
        <v>214000</v>
      </c>
      <c r="R77" s="1" t="s">
        <v>56</v>
      </c>
      <c r="S77" s="1">
        <f t="shared" si="9"/>
        <v>0</v>
      </c>
      <c r="T77" s="1">
        <v>0</v>
      </c>
      <c r="U77" s="1">
        <v>-57407</v>
      </c>
      <c r="V77" s="1">
        <v>0</v>
      </c>
      <c r="W77" s="1" t="s">
        <v>56</v>
      </c>
      <c r="X77" s="1">
        <f t="shared" si="10"/>
        <v>0</v>
      </c>
      <c r="Y77" s="1" t="s">
        <v>56</v>
      </c>
      <c r="Z77" s="1">
        <f t="shared" si="11"/>
        <v>0</v>
      </c>
      <c r="AA77" s="1">
        <v>-57407</v>
      </c>
      <c r="AB77" s="1" t="s">
        <v>56</v>
      </c>
      <c r="AC77" s="1">
        <f t="shared" si="12"/>
        <v>0</v>
      </c>
      <c r="AD77" s="1" t="s">
        <v>739</v>
      </c>
      <c r="AE77" s="1">
        <f t="shared" si="13"/>
        <v>59075</v>
      </c>
    </row>
    <row r="78" spans="1:31" x14ac:dyDescent="0.35">
      <c r="A78" s="1" t="s">
        <v>769</v>
      </c>
      <c r="B78" s="1" t="s">
        <v>770</v>
      </c>
      <c r="C78" s="1" t="s">
        <v>54</v>
      </c>
      <c r="D78" s="1">
        <v>5</v>
      </c>
      <c r="E78" s="2" t="s">
        <v>771</v>
      </c>
      <c r="F78" s="1">
        <f t="shared" si="7"/>
        <v>15146</v>
      </c>
      <c r="G78" s="1">
        <v>8500</v>
      </c>
      <c r="H78" s="1">
        <v>9361000</v>
      </c>
      <c r="I78" s="1">
        <v>24389000</v>
      </c>
      <c r="J78" s="1">
        <v>4025000</v>
      </c>
      <c r="K78" s="1">
        <v>8335398</v>
      </c>
      <c r="L78" s="1">
        <v>0</v>
      </c>
      <c r="M78" s="1">
        <v>24931835</v>
      </c>
      <c r="N78" s="1">
        <v>21178563</v>
      </c>
      <c r="O78" s="1">
        <v>1</v>
      </c>
      <c r="P78" s="1" t="s">
        <v>772</v>
      </c>
      <c r="Q78" s="1">
        <f t="shared" si="8"/>
        <v>900000</v>
      </c>
      <c r="R78" s="1" t="s">
        <v>773</v>
      </c>
      <c r="S78" s="1">
        <f t="shared" si="9"/>
        <v>-26339</v>
      </c>
      <c r="T78" s="1">
        <v>0</v>
      </c>
      <c r="U78" s="1">
        <v>-135797</v>
      </c>
      <c r="V78" s="1">
        <v>0</v>
      </c>
      <c r="W78" s="1" t="s">
        <v>774</v>
      </c>
      <c r="X78" s="1">
        <f t="shared" si="10"/>
        <v>-43198</v>
      </c>
      <c r="Y78" s="1" t="s">
        <v>775</v>
      </c>
      <c r="Z78" s="1">
        <f t="shared" si="11"/>
        <v>-256952</v>
      </c>
      <c r="AA78" s="1">
        <v>-462286</v>
      </c>
      <c r="AB78" s="1" t="s">
        <v>56</v>
      </c>
      <c r="AC78" s="1">
        <f t="shared" si="12"/>
        <v>0</v>
      </c>
      <c r="AD78" s="1" t="s">
        <v>776</v>
      </c>
      <c r="AE78" s="1">
        <f t="shared" si="13"/>
        <v>652204</v>
      </c>
    </row>
    <row r="79" spans="1:31" x14ac:dyDescent="0.35">
      <c r="A79" s="1" t="s">
        <v>817</v>
      </c>
      <c r="B79" s="1" t="s">
        <v>818</v>
      </c>
      <c r="C79" s="1" t="s">
        <v>54</v>
      </c>
      <c r="D79" s="1">
        <v>282</v>
      </c>
      <c r="E79" s="2" t="s">
        <v>28</v>
      </c>
      <c r="F79" s="1">
        <f t="shared" si="7"/>
        <v>0</v>
      </c>
      <c r="G79" s="1">
        <v>1313</v>
      </c>
      <c r="H79" s="1">
        <v>9506969</v>
      </c>
      <c r="I79" s="1">
        <v>8432777</v>
      </c>
      <c r="J79" s="1">
        <v>0</v>
      </c>
      <c r="K79" s="1">
        <v>0</v>
      </c>
      <c r="L79" s="1">
        <v>0</v>
      </c>
      <c r="M79" s="1">
        <v>17939746</v>
      </c>
      <c r="N79" s="1">
        <v>0</v>
      </c>
      <c r="O79" s="1">
        <v>9</v>
      </c>
      <c r="P79" s="1" t="s">
        <v>819</v>
      </c>
      <c r="Q79" s="1">
        <f t="shared" si="8"/>
        <v>1033571</v>
      </c>
      <c r="R79" s="1" t="s">
        <v>56</v>
      </c>
      <c r="S79" s="1">
        <f t="shared" si="9"/>
        <v>0</v>
      </c>
      <c r="T79" s="1">
        <v>0</v>
      </c>
      <c r="U79" s="1">
        <v>0</v>
      </c>
      <c r="V79" s="1">
        <v>0</v>
      </c>
      <c r="W79" s="1" t="s">
        <v>56</v>
      </c>
      <c r="X79" s="1">
        <f t="shared" si="10"/>
        <v>0</v>
      </c>
      <c r="Y79" s="1" t="s">
        <v>56</v>
      </c>
      <c r="Z79" s="1">
        <f t="shared" si="11"/>
        <v>0</v>
      </c>
      <c r="AA79" s="1">
        <v>0</v>
      </c>
      <c r="AB79" s="1" t="s">
        <v>56</v>
      </c>
      <c r="AC79" s="1">
        <f t="shared" si="12"/>
        <v>0</v>
      </c>
      <c r="AD79" s="1" t="s">
        <v>820</v>
      </c>
      <c r="AE79" s="1">
        <f t="shared" si="13"/>
        <v>94077</v>
      </c>
    </row>
    <row r="80" spans="1:31" x14ac:dyDescent="0.35">
      <c r="A80" s="1" t="s">
        <v>829</v>
      </c>
      <c r="B80" s="1" t="s">
        <v>830</v>
      </c>
      <c r="C80" s="1" t="s">
        <v>54</v>
      </c>
      <c r="D80" s="1">
        <v>1</v>
      </c>
      <c r="E80" s="2" t="s">
        <v>831</v>
      </c>
      <c r="F80" s="1">
        <f t="shared" si="7"/>
        <v>200</v>
      </c>
      <c r="G80" s="1">
        <v>2355</v>
      </c>
      <c r="H80" s="1">
        <v>0</v>
      </c>
      <c r="I80" s="1">
        <v>2045766</v>
      </c>
      <c r="J80" s="1">
        <v>213998</v>
      </c>
      <c r="K80" s="1">
        <v>0</v>
      </c>
      <c r="L80" s="1">
        <v>0</v>
      </c>
      <c r="M80" s="1">
        <v>2259764</v>
      </c>
      <c r="N80" s="1">
        <v>0</v>
      </c>
      <c r="O80" s="1">
        <v>2</v>
      </c>
      <c r="P80" s="1" t="s">
        <v>832</v>
      </c>
      <c r="Q80" s="1">
        <f t="shared" si="8"/>
        <v>192305</v>
      </c>
      <c r="R80" s="1" t="s">
        <v>833</v>
      </c>
      <c r="S80" s="1">
        <f t="shared" si="9"/>
        <v>-20000</v>
      </c>
      <c r="T80" s="1">
        <v>-9996</v>
      </c>
      <c r="U80" s="1">
        <v>-95881</v>
      </c>
      <c r="V80" s="1">
        <v>0</v>
      </c>
      <c r="W80" s="1" t="s">
        <v>834</v>
      </c>
      <c r="X80" s="1">
        <f t="shared" si="10"/>
        <v>-204973</v>
      </c>
      <c r="Y80" s="1" t="s">
        <v>835</v>
      </c>
      <c r="Z80" s="1">
        <f t="shared" si="11"/>
        <v>-70666</v>
      </c>
      <c r="AA80" s="1">
        <v>-401516</v>
      </c>
      <c r="AB80" s="1" t="s">
        <v>836</v>
      </c>
      <c r="AC80" s="1">
        <f t="shared" si="12"/>
        <v>544503</v>
      </c>
      <c r="AD80" s="1" t="s">
        <v>837</v>
      </c>
      <c r="AE80" s="1">
        <f t="shared" si="13"/>
        <v>16126</v>
      </c>
    </row>
    <row r="81" spans="1:31" x14ac:dyDescent="0.35">
      <c r="A81" s="1" t="s">
        <v>838</v>
      </c>
      <c r="B81" s="1" t="s">
        <v>839</v>
      </c>
      <c r="C81" s="1" t="s">
        <v>54</v>
      </c>
      <c r="D81" s="1">
        <v>41</v>
      </c>
      <c r="E81" s="2" t="s">
        <v>28</v>
      </c>
      <c r="F81" s="1">
        <f t="shared" si="7"/>
        <v>0</v>
      </c>
      <c r="G81" s="1">
        <v>60660</v>
      </c>
      <c r="H81" s="1">
        <v>23323476</v>
      </c>
      <c r="I81" s="1">
        <v>13943073</v>
      </c>
      <c r="J81" s="1">
        <v>7573952</v>
      </c>
      <c r="K81" s="1">
        <v>491132</v>
      </c>
      <c r="L81" s="1">
        <v>0</v>
      </c>
      <c r="M81" s="1">
        <v>45331633</v>
      </c>
      <c r="N81" s="1">
        <v>0</v>
      </c>
      <c r="O81" s="1">
        <v>2</v>
      </c>
      <c r="P81" s="1" t="s">
        <v>840</v>
      </c>
      <c r="Q81" s="1">
        <f t="shared" si="8"/>
        <v>189191</v>
      </c>
      <c r="R81" s="1" t="s">
        <v>841</v>
      </c>
      <c r="S81" s="1">
        <f t="shared" si="9"/>
        <v>-75346</v>
      </c>
      <c r="T81" s="1">
        <v>-805576</v>
      </c>
      <c r="U81" s="1">
        <v>-116222</v>
      </c>
      <c r="V81" s="1">
        <v>0</v>
      </c>
      <c r="W81" s="1" t="s">
        <v>842</v>
      </c>
      <c r="X81" s="1">
        <f t="shared" si="10"/>
        <v>-2937986</v>
      </c>
      <c r="Y81" s="1" t="s">
        <v>843</v>
      </c>
      <c r="Z81" s="1">
        <f t="shared" si="11"/>
        <v>-3082083</v>
      </c>
      <c r="AA81" s="1">
        <v>-7017213</v>
      </c>
      <c r="AB81" s="1" t="s">
        <v>844</v>
      </c>
      <c r="AC81" s="1">
        <f t="shared" si="12"/>
        <v>4036713</v>
      </c>
      <c r="AD81" s="1" t="s">
        <v>845</v>
      </c>
      <c r="AE81" s="1">
        <f t="shared" si="13"/>
        <v>44737</v>
      </c>
    </row>
    <row r="82" spans="1:31" x14ac:dyDescent="0.35">
      <c r="A82" s="1" t="s">
        <v>873</v>
      </c>
      <c r="B82" s="1" t="s">
        <v>874</v>
      </c>
      <c r="C82" s="1" t="s">
        <v>54</v>
      </c>
      <c r="D82" s="1">
        <v>119</v>
      </c>
      <c r="E82" s="2" t="s">
        <v>28</v>
      </c>
      <c r="F82" s="1">
        <f t="shared" si="7"/>
        <v>0</v>
      </c>
      <c r="G82" s="1">
        <v>0</v>
      </c>
      <c r="H82" s="1">
        <v>4926000</v>
      </c>
      <c r="I82" s="1">
        <v>3284000</v>
      </c>
      <c r="J82" s="1">
        <v>3591000</v>
      </c>
      <c r="K82" s="1">
        <v>997000</v>
      </c>
      <c r="L82" s="1">
        <v>0</v>
      </c>
      <c r="M82" s="1">
        <v>12764000</v>
      </c>
      <c r="N82" s="1">
        <v>34000</v>
      </c>
      <c r="O82" s="1">
        <v>0</v>
      </c>
      <c r="P82" s="1" t="s">
        <v>28</v>
      </c>
      <c r="Q82" s="1">
        <f t="shared" si="8"/>
        <v>0</v>
      </c>
      <c r="R82" s="1" t="s">
        <v>56</v>
      </c>
      <c r="S82" s="1">
        <f t="shared" si="9"/>
        <v>0</v>
      </c>
      <c r="T82" s="1">
        <v>631000</v>
      </c>
      <c r="U82" s="1">
        <v>2879000</v>
      </c>
      <c r="V82" s="1">
        <v>15000</v>
      </c>
      <c r="W82" s="1" t="s">
        <v>56</v>
      </c>
      <c r="X82" s="1">
        <f t="shared" si="10"/>
        <v>0</v>
      </c>
      <c r="Y82" s="1" t="s">
        <v>56</v>
      </c>
      <c r="Z82" s="1">
        <f t="shared" si="11"/>
        <v>0</v>
      </c>
      <c r="AA82" s="1">
        <v>3525000</v>
      </c>
      <c r="AB82" s="1" t="s">
        <v>56</v>
      </c>
      <c r="AC82" s="1">
        <f t="shared" si="12"/>
        <v>0</v>
      </c>
      <c r="AD82" s="1" t="s">
        <v>875</v>
      </c>
      <c r="AE82" s="1">
        <f t="shared" si="13"/>
        <v>390000</v>
      </c>
    </row>
    <row r="83" spans="1:31" x14ac:dyDescent="0.35">
      <c r="A83" s="1" t="s">
        <v>898</v>
      </c>
      <c r="B83" s="1" t="s">
        <v>899</v>
      </c>
      <c r="C83" s="1" t="s">
        <v>54</v>
      </c>
      <c r="D83" s="1">
        <v>7</v>
      </c>
      <c r="E83" s="2" t="s">
        <v>900</v>
      </c>
      <c r="F83" s="1">
        <f t="shared" si="7"/>
        <v>55958</v>
      </c>
      <c r="G83" s="1">
        <v>32319</v>
      </c>
      <c r="H83" s="1">
        <v>23517000</v>
      </c>
      <c r="I83" s="1">
        <v>3446000</v>
      </c>
      <c r="J83" s="1">
        <v>2126000</v>
      </c>
      <c r="K83" s="1">
        <v>58000</v>
      </c>
      <c r="L83" s="1">
        <v>1182000</v>
      </c>
      <c r="M83" s="1">
        <v>27965000</v>
      </c>
      <c r="N83" s="1">
        <v>0</v>
      </c>
      <c r="O83" s="1">
        <v>0</v>
      </c>
      <c r="P83" s="1" t="s">
        <v>28</v>
      </c>
      <c r="Q83" s="1">
        <f t="shared" si="8"/>
        <v>0</v>
      </c>
      <c r="R83" s="1" t="s">
        <v>901</v>
      </c>
      <c r="S83" s="1">
        <f t="shared" si="9"/>
        <v>-80000</v>
      </c>
      <c r="T83" s="1">
        <v>0</v>
      </c>
      <c r="U83" s="1">
        <v>0</v>
      </c>
      <c r="V83" s="1">
        <v>0</v>
      </c>
      <c r="W83" s="1" t="s">
        <v>902</v>
      </c>
      <c r="X83" s="1">
        <f t="shared" si="10"/>
        <v>-3400624</v>
      </c>
      <c r="Y83" s="1" t="s">
        <v>56</v>
      </c>
      <c r="Z83" s="1">
        <f t="shared" si="11"/>
        <v>0</v>
      </c>
      <c r="AA83" s="1">
        <v>-3480624</v>
      </c>
      <c r="AB83" s="1" t="s">
        <v>903</v>
      </c>
      <c r="AC83" s="1">
        <f t="shared" si="12"/>
        <v>558321</v>
      </c>
      <c r="AD83" s="1" t="s">
        <v>904</v>
      </c>
      <c r="AE83" s="1">
        <f t="shared" si="13"/>
        <v>4515960</v>
      </c>
    </row>
    <row r="84" spans="1:31" x14ac:dyDescent="0.35">
      <c r="A84" s="1" t="s">
        <v>1011</v>
      </c>
      <c r="B84" s="1" t="s">
        <v>1012</v>
      </c>
      <c r="C84" s="1" t="s">
        <v>54</v>
      </c>
      <c r="D84" s="1">
        <v>96</v>
      </c>
      <c r="E84" s="2" t="s">
        <v>28</v>
      </c>
      <c r="F84" s="1">
        <f t="shared" si="7"/>
        <v>0</v>
      </c>
      <c r="G84" s="1">
        <v>0</v>
      </c>
      <c r="H84" s="1">
        <v>18597171</v>
      </c>
      <c r="I84" s="1">
        <v>5338416</v>
      </c>
      <c r="J84" s="1">
        <v>4033122</v>
      </c>
      <c r="K84" s="1">
        <v>662564</v>
      </c>
      <c r="L84" s="1">
        <v>0</v>
      </c>
      <c r="M84" s="1">
        <v>28631273</v>
      </c>
      <c r="N84" s="1">
        <v>0</v>
      </c>
      <c r="O84" s="1">
        <v>0</v>
      </c>
      <c r="P84" s="1" t="s">
        <v>28</v>
      </c>
      <c r="Q84" s="1">
        <f t="shared" si="8"/>
        <v>0</v>
      </c>
      <c r="R84" s="1" t="s">
        <v>56</v>
      </c>
      <c r="S84" s="1">
        <f t="shared" si="9"/>
        <v>0</v>
      </c>
      <c r="T84" s="1">
        <v>-93197</v>
      </c>
      <c r="U84" s="1">
        <v>0</v>
      </c>
      <c r="V84" s="1">
        <v>-694</v>
      </c>
      <c r="W84" s="1" t="s">
        <v>1013</v>
      </c>
      <c r="X84" s="1">
        <f t="shared" si="10"/>
        <v>-1209283</v>
      </c>
      <c r="Y84" s="1" t="s">
        <v>56</v>
      </c>
      <c r="Z84" s="1">
        <f t="shared" si="11"/>
        <v>0</v>
      </c>
      <c r="AA84" s="1">
        <v>-1303174</v>
      </c>
      <c r="AB84" s="1" t="s">
        <v>1014</v>
      </c>
      <c r="AC84" s="1">
        <f t="shared" si="12"/>
        <v>2941683</v>
      </c>
      <c r="AD84" s="1" t="s">
        <v>1015</v>
      </c>
      <c r="AE84" s="1">
        <f t="shared" si="13"/>
        <v>539012</v>
      </c>
    </row>
    <row r="85" spans="1:31" x14ac:dyDescent="0.35">
      <c r="A85" s="1" t="s">
        <v>1016</v>
      </c>
      <c r="B85" s="1" t="s">
        <v>1017</v>
      </c>
      <c r="C85" s="1" t="s">
        <v>54</v>
      </c>
      <c r="D85" s="1">
        <v>7</v>
      </c>
      <c r="E85" s="2" t="s">
        <v>28</v>
      </c>
      <c r="F85" s="1">
        <f t="shared" si="7"/>
        <v>0</v>
      </c>
      <c r="G85" s="1">
        <v>23723</v>
      </c>
      <c r="H85" s="1">
        <v>32730998</v>
      </c>
      <c r="I85" s="1">
        <v>14294744</v>
      </c>
      <c r="J85" s="1">
        <v>10237666</v>
      </c>
      <c r="K85" s="1">
        <v>2489748</v>
      </c>
      <c r="L85" s="1">
        <v>0</v>
      </c>
      <c r="M85" s="1">
        <v>59535281</v>
      </c>
      <c r="N85" s="1">
        <v>217875</v>
      </c>
      <c r="O85" s="1">
        <v>0</v>
      </c>
      <c r="P85" s="1" t="s">
        <v>28</v>
      </c>
      <c r="Q85" s="1">
        <f t="shared" si="8"/>
        <v>0</v>
      </c>
      <c r="R85" s="1" t="s">
        <v>1018</v>
      </c>
      <c r="S85" s="1">
        <f t="shared" si="9"/>
        <v>-388667</v>
      </c>
      <c r="T85" s="1">
        <v>0</v>
      </c>
      <c r="U85" s="1">
        <v>0</v>
      </c>
      <c r="V85" s="1">
        <v>0</v>
      </c>
      <c r="W85" s="1" t="s">
        <v>1019</v>
      </c>
      <c r="X85" s="1">
        <f t="shared" si="10"/>
        <v>-3945040</v>
      </c>
      <c r="Y85" s="1" t="s">
        <v>1020</v>
      </c>
      <c r="Z85" s="1">
        <f t="shared" si="11"/>
        <v>-1882847</v>
      </c>
      <c r="AA85" s="1">
        <v>-6216554</v>
      </c>
      <c r="AB85" s="1" t="s">
        <v>1021</v>
      </c>
      <c r="AC85" s="1">
        <f t="shared" si="12"/>
        <v>2455960</v>
      </c>
      <c r="AD85" s="1" t="s">
        <v>1022</v>
      </c>
      <c r="AE85" s="1">
        <f t="shared" si="13"/>
        <v>943096</v>
      </c>
    </row>
    <row r="86" spans="1:31" x14ac:dyDescent="0.35">
      <c r="A86" s="1" t="s">
        <v>1058</v>
      </c>
      <c r="B86" s="1" t="s">
        <v>1059</v>
      </c>
      <c r="C86" s="1" t="s">
        <v>54</v>
      </c>
      <c r="D86" s="1">
        <v>8</v>
      </c>
      <c r="E86" s="2" t="s">
        <v>56</v>
      </c>
      <c r="F86" s="1">
        <f t="shared" si="7"/>
        <v>0</v>
      </c>
      <c r="G86" s="1">
        <v>10256</v>
      </c>
      <c r="H86" s="1">
        <v>0</v>
      </c>
      <c r="I86" s="1">
        <v>16086000</v>
      </c>
      <c r="J86" s="1">
        <v>108000</v>
      </c>
      <c r="K86" s="1">
        <v>1630000</v>
      </c>
      <c r="L86" s="1">
        <v>0</v>
      </c>
      <c r="M86" s="1">
        <v>17824000</v>
      </c>
      <c r="N86" s="1">
        <v>0</v>
      </c>
      <c r="O86" s="1">
        <v>0</v>
      </c>
      <c r="P86" s="1" t="s">
        <v>28</v>
      </c>
      <c r="Q86" s="1">
        <f t="shared" si="8"/>
        <v>0</v>
      </c>
      <c r="R86" s="1" t="s">
        <v>1060</v>
      </c>
      <c r="S86" s="1">
        <f t="shared" si="9"/>
        <v>-763523</v>
      </c>
      <c r="T86" s="1">
        <v>-1612759</v>
      </c>
      <c r="U86" s="1">
        <v>-1495998</v>
      </c>
      <c r="V86" s="1">
        <v>0</v>
      </c>
      <c r="W86" s="1" t="s">
        <v>1061</v>
      </c>
      <c r="X86" s="1">
        <f t="shared" si="10"/>
        <v>-1933765</v>
      </c>
      <c r="Y86" s="1" t="s">
        <v>56</v>
      </c>
      <c r="Z86" s="1">
        <f t="shared" si="11"/>
        <v>0</v>
      </c>
      <c r="AA86" s="1">
        <v>-5806045</v>
      </c>
      <c r="AB86" s="1" t="s">
        <v>1062</v>
      </c>
      <c r="AC86" s="1">
        <f t="shared" si="12"/>
        <v>744478</v>
      </c>
      <c r="AD86" s="1" t="s">
        <v>1063</v>
      </c>
      <c r="AE86" s="1">
        <f t="shared" si="13"/>
        <v>102091</v>
      </c>
    </row>
    <row r="87" spans="1:31" x14ac:dyDescent="0.35">
      <c r="A87" s="1" t="s">
        <v>1094</v>
      </c>
      <c r="B87" s="1" t="s">
        <v>1095</v>
      </c>
      <c r="C87" s="1" t="s">
        <v>54</v>
      </c>
      <c r="D87" s="1">
        <v>3</v>
      </c>
      <c r="E87" s="2" t="s">
        <v>56</v>
      </c>
      <c r="F87" s="1">
        <f t="shared" si="7"/>
        <v>0</v>
      </c>
      <c r="G87" s="1">
        <v>9327</v>
      </c>
      <c r="H87" s="1">
        <v>44255378</v>
      </c>
      <c r="I87" s="1">
        <v>59153268</v>
      </c>
      <c r="J87" s="1">
        <v>13122004</v>
      </c>
      <c r="K87" s="1">
        <v>31938530</v>
      </c>
      <c r="L87" s="1">
        <v>0</v>
      </c>
      <c r="M87" s="1">
        <v>136117869</v>
      </c>
      <c r="N87" s="1">
        <v>12351311</v>
      </c>
      <c r="O87" s="1">
        <v>19</v>
      </c>
      <c r="P87" s="1" t="s">
        <v>1096</v>
      </c>
      <c r="Q87" s="1">
        <f t="shared" si="8"/>
        <v>12249901</v>
      </c>
      <c r="R87" s="1" t="s">
        <v>1097</v>
      </c>
      <c r="S87" s="1">
        <f t="shared" si="9"/>
        <v>319219</v>
      </c>
      <c r="T87" s="1">
        <v>-2253537</v>
      </c>
      <c r="U87" s="1">
        <v>-578127</v>
      </c>
      <c r="V87" s="1">
        <v>0</v>
      </c>
      <c r="W87" s="1" t="s">
        <v>1098</v>
      </c>
      <c r="X87" s="1">
        <f t="shared" si="10"/>
        <v>-2316819</v>
      </c>
      <c r="Y87" s="1" t="s">
        <v>1099</v>
      </c>
      <c r="Z87" s="1">
        <f t="shared" si="11"/>
        <v>-546647</v>
      </c>
      <c r="AA87" s="1">
        <v>-5375911</v>
      </c>
      <c r="AB87" s="1" t="s">
        <v>56</v>
      </c>
      <c r="AC87" s="1">
        <f t="shared" si="12"/>
        <v>0</v>
      </c>
      <c r="AD87" s="1" t="s">
        <v>1100</v>
      </c>
      <c r="AE87" s="1">
        <f t="shared" si="13"/>
        <v>488132</v>
      </c>
    </row>
    <row r="88" spans="1:31" x14ac:dyDescent="0.35">
      <c r="A88" s="1" t="s">
        <v>1125</v>
      </c>
      <c r="B88" s="1" t="s">
        <v>1126</v>
      </c>
      <c r="C88" s="1" t="s">
        <v>54</v>
      </c>
      <c r="D88" s="1">
        <v>87</v>
      </c>
      <c r="E88" s="2" t="s">
        <v>28</v>
      </c>
      <c r="F88" s="1">
        <f t="shared" si="7"/>
        <v>0</v>
      </c>
      <c r="G88" s="1">
        <v>0</v>
      </c>
      <c r="H88" s="1">
        <v>0</v>
      </c>
      <c r="I88" s="1">
        <v>0</v>
      </c>
      <c r="J88" s="1">
        <v>1218620</v>
      </c>
      <c r="K88" s="1">
        <v>0</v>
      </c>
      <c r="L88" s="1">
        <v>0</v>
      </c>
      <c r="M88" s="1">
        <v>1218620</v>
      </c>
      <c r="N88" s="1">
        <v>0</v>
      </c>
      <c r="O88" s="1">
        <v>6</v>
      </c>
      <c r="P88" s="1" t="s">
        <v>1127</v>
      </c>
      <c r="Q88" s="1">
        <f t="shared" si="8"/>
        <v>426686</v>
      </c>
      <c r="R88" s="1" t="s">
        <v>28</v>
      </c>
      <c r="S88" s="1">
        <f t="shared" si="9"/>
        <v>0</v>
      </c>
      <c r="T88" s="1">
        <v>0</v>
      </c>
      <c r="U88" s="1">
        <v>0</v>
      </c>
      <c r="V88" s="1">
        <v>-83207</v>
      </c>
      <c r="W88" s="1" t="s">
        <v>28</v>
      </c>
      <c r="X88" s="1">
        <f t="shared" si="10"/>
        <v>0</v>
      </c>
      <c r="Y88" s="1" t="s">
        <v>28</v>
      </c>
      <c r="Z88" s="1">
        <f t="shared" si="11"/>
        <v>0</v>
      </c>
      <c r="AA88" s="1">
        <v>-83207</v>
      </c>
      <c r="AB88" s="1" t="s">
        <v>28</v>
      </c>
      <c r="AC88" s="1">
        <f t="shared" si="12"/>
        <v>0</v>
      </c>
      <c r="AD88" s="1" t="s">
        <v>28</v>
      </c>
      <c r="AE88" s="1">
        <f t="shared" si="13"/>
        <v>0</v>
      </c>
    </row>
    <row r="89" spans="1:31" x14ac:dyDescent="0.35">
      <c r="A89" s="1" t="s">
        <v>1157</v>
      </c>
      <c r="B89" s="1" t="s">
        <v>1158</v>
      </c>
      <c r="C89" s="1" t="s">
        <v>54</v>
      </c>
      <c r="D89" s="1">
        <v>13</v>
      </c>
      <c r="E89" s="2" t="s">
        <v>28</v>
      </c>
      <c r="F89" s="1">
        <f t="shared" si="7"/>
        <v>0</v>
      </c>
      <c r="G89" s="1">
        <v>1697</v>
      </c>
      <c r="H89" s="1">
        <v>44501106</v>
      </c>
      <c r="I89" s="1">
        <v>17593814</v>
      </c>
      <c r="J89" s="1">
        <v>3423465</v>
      </c>
      <c r="K89" s="1">
        <v>920427</v>
      </c>
      <c r="L89" s="1">
        <v>1932441</v>
      </c>
      <c r="M89" s="1">
        <v>51911937</v>
      </c>
      <c r="N89" s="1">
        <v>12594434</v>
      </c>
      <c r="O89" s="1">
        <v>4</v>
      </c>
      <c r="P89" s="1" t="s">
        <v>1159</v>
      </c>
      <c r="Q89" s="1">
        <f t="shared" si="8"/>
        <v>105156</v>
      </c>
      <c r="R89" s="1" t="s">
        <v>56</v>
      </c>
      <c r="S89" s="1">
        <f t="shared" si="9"/>
        <v>0</v>
      </c>
      <c r="T89" s="1">
        <v>-1036641</v>
      </c>
      <c r="U89" s="1">
        <v>0</v>
      </c>
      <c r="V89" s="1">
        <v>0</v>
      </c>
      <c r="W89" s="1" t="s">
        <v>1160</v>
      </c>
      <c r="X89" s="1">
        <f t="shared" si="10"/>
        <v>-493</v>
      </c>
      <c r="Y89" s="1" t="s">
        <v>1161</v>
      </c>
      <c r="Z89" s="1">
        <f t="shared" si="11"/>
        <v>-34</v>
      </c>
      <c r="AA89" s="1">
        <v>-1037168</v>
      </c>
      <c r="AB89" s="1" t="s">
        <v>1162</v>
      </c>
      <c r="AC89" s="1">
        <f t="shared" si="12"/>
        <v>289404</v>
      </c>
      <c r="AD89" s="1" t="s">
        <v>1163</v>
      </c>
      <c r="AE89" s="1">
        <f t="shared" si="13"/>
        <v>474050</v>
      </c>
    </row>
    <row r="90" spans="1:31" x14ac:dyDescent="0.35">
      <c r="A90" s="1" t="s">
        <v>1172</v>
      </c>
      <c r="B90" s="1" t="s">
        <v>1173</v>
      </c>
      <c r="C90" s="1" t="s">
        <v>54</v>
      </c>
      <c r="D90" s="1">
        <v>26</v>
      </c>
      <c r="E90" s="2" t="s">
        <v>28</v>
      </c>
      <c r="F90" s="1">
        <f t="shared" si="7"/>
        <v>0</v>
      </c>
      <c r="G90" s="1">
        <v>9115</v>
      </c>
      <c r="H90" s="1">
        <v>0</v>
      </c>
      <c r="I90" s="1">
        <v>293925</v>
      </c>
      <c r="J90" s="1">
        <v>190825</v>
      </c>
      <c r="K90" s="1">
        <v>0</v>
      </c>
      <c r="L90" s="1">
        <v>0</v>
      </c>
      <c r="M90" s="1">
        <v>484750</v>
      </c>
      <c r="N90" s="1">
        <v>0</v>
      </c>
      <c r="O90" s="1">
        <v>0</v>
      </c>
      <c r="P90" s="1" t="s">
        <v>28</v>
      </c>
      <c r="Q90" s="1">
        <f t="shared" si="8"/>
        <v>0</v>
      </c>
      <c r="R90" s="1" t="s">
        <v>56</v>
      </c>
      <c r="S90" s="1">
        <f t="shared" si="9"/>
        <v>0</v>
      </c>
      <c r="T90" s="1">
        <v>0</v>
      </c>
      <c r="U90" s="1">
        <v>0</v>
      </c>
      <c r="V90" s="1">
        <v>0</v>
      </c>
      <c r="W90" s="1" t="s">
        <v>56</v>
      </c>
      <c r="X90" s="1">
        <f t="shared" si="10"/>
        <v>0</v>
      </c>
      <c r="Y90" s="1" t="s">
        <v>56</v>
      </c>
      <c r="Z90" s="1">
        <f t="shared" si="11"/>
        <v>0</v>
      </c>
      <c r="AA90" s="1">
        <v>0</v>
      </c>
      <c r="AB90" s="1" t="s">
        <v>56</v>
      </c>
      <c r="AC90" s="1">
        <f t="shared" si="12"/>
        <v>0</v>
      </c>
      <c r="AD90" s="1" t="s">
        <v>1174</v>
      </c>
      <c r="AE90" s="1">
        <f t="shared" si="13"/>
        <v>83343</v>
      </c>
    </row>
    <row r="91" spans="1:31" x14ac:dyDescent="0.35">
      <c r="A91" s="1" t="s">
        <v>1201</v>
      </c>
      <c r="B91" s="1" t="s">
        <v>1202</v>
      </c>
      <c r="C91" s="1" t="s">
        <v>54</v>
      </c>
      <c r="D91" s="1">
        <v>46</v>
      </c>
      <c r="E91" s="2" t="s">
        <v>1203</v>
      </c>
      <c r="F91" s="1">
        <f t="shared" si="7"/>
        <v>150000</v>
      </c>
      <c r="G91" s="1">
        <v>31450</v>
      </c>
      <c r="H91" s="1">
        <v>1498261</v>
      </c>
      <c r="I91" s="1">
        <v>3289185</v>
      </c>
      <c r="J91" s="1">
        <v>1683008</v>
      </c>
      <c r="K91" s="1">
        <v>183014</v>
      </c>
      <c r="L91" s="1">
        <v>0</v>
      </c>
      <c r="M91" s="1">
        <v>6653468</v>
      </c>
      <c r="N91" s="1">
        <v>0</v>
      </c>
      <c r="O91" s="1">
        <v>0</v>
      </c>
      <c r="P91" s="1" t="s">
        <v>28</v>
      </c>
      <c r="Q91" s="1">
        <f t="shared" si="8"/>
        <v>0</v>
      </c>
      <c r="R91" s="1" t="s">
        <v>56</v>
      </c>
      <c r="S91" s="1">
        <f t="shared" si="9"/>
        <v>0</v>
      </c>
      <c r="T91" s="1">
        <v>0</v>
      </c>
      <c r="U91" s="1">
        <v>0</v>
      </c>
      <c r="V91" s="1">
        <v>0</v>
      </c>
      <c r="W91" s="1" t="s">
        <v>56</v>
      </c>
      <c r="X91" s="1">
        <f t="shared" si="10"/>
        <v>0</v>
      </c>
      <c r="Y91" s="1" t="s">
        <v>56</v>
      </c>
      <c r="Z91" s="1">
        <f t="shared" si="11"/>
        <v>0</v>
      </c>
      <c r="AA91" s="1">
        <v>0</v>
      </c>
      <c r="AB91" s="1" t="s">
        <v>1204</v>
      </c>
      <c r="AC91" s="1">
        <f t="shared" si="12"/>
        <v>631430</v>
      </c>
      <c r="AD91" s="1" t="s">
        <v>1205</v>
      </c>
      <c r="AE91" s="1">
        <f t="shared" si="13"/>
        <v>181956</v>
      </c>
    </row>
    <row r="92" spans="1:31" x14ac:dyDescent="0.35">
      <c r="A92" s="1" t="s">
        <v>1212</v>
      </c>
      <c r="B92" s="1" t="s">
        <v>1213</v>
      </c>
      <c r="C92" s="1" t="s">
        <v>54</v>
      </c>
      <c r="D92" s="1">
        <v>17</v>
      </c>
      <c r="E92" s="2" t="s">
        <v>1214</v>
      </c>
      <c r="F92" s="1">
        <f t="shared" si="7"/>
        <v>52740</v>
      </c>
      <c r="G92" s="1">
        <v>33782</v>
      </c>
      <c r="H92" s="1">
        <v>42211761</v>
      </c>
      <c r="I92" s="1">
        <v>17301114</v>
      </c>
      <c r="J92" s="1">
        <v>3460384</v>
      </c>
      <c r="K92" s="1">
        <v>0</v>
      </c>
      <c r="L92" s="1">
        <v>0</v>
      </c>
      <c r="M92" s="1">
        <v>62763797</v>
      </c>
      <c r="N92" s="1">
        <v>209462</v>
      </c>
      <c r="O92" s="1">
        <v>3</v>
      </c>
      <c r="P92" s="1" t="s">
        <v>1215</v>
      </c>
      <c r="Q92" s="1">
        <f t="shared" si="8"/>
        <v>429966</v>
      </c>
      <c r="R92" s="1" t="s">
        <v>56</v>
      </c>
      <c r="S92" s="1">
        <f t="shared" si="9"/>
        <v>0</v>
      </c>
      <c r="T92" s="1">
        <v>0</v>
      </c>
      <c r="U92" s="1">
        <v>-43528</v>
      </c>
      <c r="V92" s="1">
        <v>-3100</v>
      </c>
      <c r="W92" s="1" t="s">
        <v>1216</v>
      </c>
      <c r="X92" s="1">
        <f t="shared" si="10"/>
        <v>-1094773</v>
      </c>
      <c r="Y92" s="1" t="s">
        <v>56</v>
      </c>
      <c r="Z92" s="1">
        <f t="shared" si="11"/>
        <v>0</v>
      </c>
      <c r="AA92" s="1">
        <v>-1141401</v>
      </c>
      <c r="AB92" s="1" t="s">
        <v>1217</v>
      </c>
      <c r="AC92" s="1">
        <f t="shared" si="12"/>
        <v>896441</v>
      </c>
      <c r="AD92" s="1" t="s">
        <v>1218</v>
      </c>
      <c r="AE92" s="1">
        <f t="shared" si="13"/>
        <v>243533</v>
      </c>
    </row>
    <row r="93" spans="1:31" x14ac:dyDescent="0.35">
      <c r="A93" s="1" t="s">
        <v>1241</v>
      </c>
      <c r="B93" s="1" t="s">
        <v>1242</v>
      </c>
      <c r="C93" s="1" t="s">
        <v>54</v>
      </c>
      <c r="D93" s="1">
        <v>42</v>
      </c>
      <c r="E93" s="2" t="s">
        <v>28</v>
      </c>
      <c r="F93" s="1">
        <f t="shared" si="7"/>
        <v>0</v>
      </c>
      <c r="G93" s="1">
        <v>0</v>
      </c>
      <c r="H93" s="1">
        <v>0</v>
      </c>
      <c r="I93" s="1">
        <v>231000</v>
      </c>
      <c r="J93" s="1">
        <v>64000</v>
      </c>
      <c r="K93" s="1">
        <v>48000</v>
      </c>
      <c r="L93" s="1">
        <v>0</v>
      </c>
      <c r="M93" s="1">
        <v>343000</v>
      </c>
      <c r="N93" s="1">
        <v>0</v>
      </c>
      <c r="O93" s="1">
        <v>0</v>
      </c>
      <c r="P93" s="1" t="s">
        <v>28</v>
      </c>
      <c r="Q93" s="1">
        <f t="shared" si="8"/>
        <v>0</v>
      </c>
      <c r="R93" s="1" t="s">
        <v>56</v>
      </c>
      <c r="S93" s="1">
        <f t="shared" si="9"/>
        <v>0</v>
      </c>
      <c r="T93" s="1">
        <v>0</v>
      </c>
      <c r="U93" s="1">
        <v>0</v>
      </c>
      <c r="V93" s="1">
        <v>0</v>
      </c>
      <c r="W93" s="1" t="s">
        <v>56</v>
      </c>
      <c r="X93" s="1">
        <f t="shared" si="10"/>
        <v>0</v>
      </c>
      <c r="Y93" s="1" t="s">
        <v>56</v>
      </c>
      <c r="Z93" s="1">
        <f t="shared" si="11"/>
        <v>0</v>
      </c>
      <c r="AA93" s="1">
        <v>0</v>
      </c>
      <c r="AB93" s="1" t="s">
        <v>56</v>
      </c>
      <c r="AC93" s="1">
        <f t="shared" si="12"/>
        <v>0</v>
      </c>
      <c r="AD93" s="1" t="s">
        <v>1243</v>
      </c>
      <c r="AE93" s="1">
        <f t="shared" si="13"/>
        <v>13163</v>
      </c>
    </row>
    <row r="94" spans="1:31" x14ac:dyDescent="0.35">
      <c r="A94" s="1" t="s">
        <v>1252</v>
      </c>
      <c r="B94" s="1" t="s">
        <v>1253</v>
      </c>
      <c r="C94" s="1" t="s">
        <v>54</v>
      </c>
      <c r="D94" s="1">
        <v>47</v>
      </c>
      <c r="E94" s="2" t="s">
        <v>1254</v>
      </c>
      <c r="F94" s="1">
        <f t="shared" si="7"/>
        <v>23836</v>
      </c>
      <c r="G94" s="1">
        <v>7060</v>
      </c>
      <c r="H94" s="1">
        <v>10377300</v>
      </c>
      <c r="I94" s="1">
        <v>3779000</v>
      </c>
      <c r="J94" s="1">
        <v>1235000</v>
      </c>
      <c r="K94" s="1">
        <v>137000</v>
      </c>
      <c r="L94" s="1">
        <v>0</v>
      </c>
      <c r="M94" s="1">
        <v>15528300</v>
      </c>
      <c r="N94" s="1">
        <v>0</v>
      </c>
      <c r="O94" s="1">
        <v>0</v>
      </c>
      <c r="P94" s="1" t="s">
        <v>28</v>
      </c>
      <c r="Q94" s="1">
        <f t="shared" si="8"/>
        <v>0</v>
      </c>
      <c r="R94" s="1" t="s">
        <v>1255</v>
      </c>
      <c r="S94" s="1">
        <f t="shared" si="9"/>
        <v>-49902</v>
      </c>
      <c r="T94" s="1">
        <v>-712825</v>
      </c>
      <c r="U94" s="1">
        <v>-2554673</v>
      </c>
      <c r="V94" s="1">
        <v>0</v>
      </c>
      <c r="W94" s="1" t="s">
        <v>56</v>
      </c>
      <c r="X94" s="1">
        <f t="shared" si="10"/>
        <v>0</v>
      </c>
      <c r="Y94" s="1" t="s">
        <v>56</v>
      </c>
      <c r="Z94" s="1">
        <f t="shared" si="11"/>
        <v>0</v>
      </c>
      <c r="AA94" s="1">
        <v>-3317400</v>
      </c>
      <c r="AB94" s="1" t="s">
        <v>1256</v>
      </c>
      <c r="AC94" s="1">
        <f t="shared" si="12"/>
        <v>750428</v>
      </c>
      <c r="AD94" s="1" t="s">
        <v>1257</v>
      </c>
      <c r="AE94" s="1">
        <f t="shared" si="13"/>
        <v>94668</v>
      </c>
    </row>
    <row r="95" spans="1:31" x14ac:dyDescent="0.35">
      <c r="A95" s="1" t="s">
        <v>1262</v>
      </c>
      <c r="B95" s="1" t="s">
        <v>1263</v>
      </c>
      <c r="C95" s="1" t="s">
        <v>54</v>
      </c>
      <c r="D95" s="1">
        <v>31</v>
      </c>
      <c r="E95" s="2" t="s">
        <v>56</v>
      </c>
      <c r="F95" s="1">
        <f t="shared" si="7"/>
        <v>0</v>
      </c>
      <c r="G95" s="1">
        <v>0</v>
      </c>
      <c r="H95" s="1">
        <v>0</v>
      </c>
      <c r="I95" s="1">
        <v>878736</v>
      </c>
      <c r="J95" s="1">
        <v>0</v>
      </c>
      <c r="K95" s="1">
        <v>256268</v>
      </c>
      <c r="L95" s="1">
        <v>0</v>
      </c>
      <c r="M95" s="1">
        <v>1135004</v>
      </c>
      <c r="N95" s="1">
        <v>0</v>
      </c>
      <c r="O95" s="1">
        <v>0</v>
      </c>
      <c r="P95" s="1" t="s">
        <v>28</v>
      </c>
      <c r="Q95" s="1">
        <f t="shared" si="8"/>
        <v>0</v>
      </c>
      <c r="R95" s="1" t="s">
        <v>28</v>
      </c>
      <c r="S95" s="1">
        <f t="shared" si="9"/>
        <v>0</v>
      </c>
      <c r="T95" s="1">
        <v>0</v>
      </c>
      <c r="U95" s="1">
        <v>0</v>
      </c>
      <c r="V95" s="1">
        <v>0</v>
      </c>
      <c r="W95" s="1" t="s">
        <v>28</v>
      </c>
      <c r="X95" s="1">
        <f t="shared" si="10"/>
        <v>0</v>
      </c>
      <c r="Y95" s="1" t="s">
        <v>28</v>
      </c>
      <c r="Z95" s="1">
        <f t="shared" si="11"/>
        <v>0</v>
      </c>
      <c r="AA95" s="1">
        <v>0</v>
      </c>
      <c r="AB95" s="1" t="s">
        <v>28</v>
      </c>
      <c r="AC95" s="1">
        <f t="shared" si="12"/>
        <v>0</v>
      </c>
      <c r="AD95" s="1" t="s">
        <v>28</v>
      </c>
      <c r="AE95" s="1">
        <f t="shared" si="13"/>
        <v>0</v>
      </c>
    </row>
    <row r="96" spans="1:31" x14ac:dyDescent="0.35">
      <c r="A96" s="1" t="s">
        <v>1276</v>
      </c>
      <c r="B96" s="1" t="s">
        <v>1277</v>
      </c>
      <c r="C96" s="1" t="s">
        <v>54</v>
      </c>
      <c r="D96" s="1">
        <v>52</v>
      </c>
      <c r="E96" s="2" t="s">
        <v>56</v>
      </c>
      <c r="F96" s="1">
        <f t="shared" si="7"/>
        <v>0</v>
      </c>
      <c r="G96" s="1">
        <v>216</v>
      </c>
      <c r="H96" s="1">
        <v>231125</v>
      </c>
      <c r="I96" s="1">
        <v>8241431</v>
      </c>
      <c r="J96" s="1">
        <v>0</v>
      </c>
      <c r="K96" s="1">
        <v>1765699</v>
      </c>
      <c r="L96" s="1">
        <v>0</v>
      </c>
      <c r="M96" s="1">
        <v>10238255</v>
      </c>
      <c r="N96" s="1">
        <v>0</v>
      </c>
      <c r="O96" s="1">
        <v>1</v>
      </c>
      <c r="P96" s="1" t="s">
        <v>1203</v>
      </c>
      <c r="Q96" s="1">
        <f t="shared" si="8"/>
        <v>150000</v>
      </c>
      <c r="R96" s="1" t="s">
        <v>56</v>
      </c>
      <c r="S96" s="1">
        <f t="shared" si="9"/>
        <v>0</v>
      </c>
      <c r="T96" s="1">
        <v>0</v>
      </c>
      <c r="U96" s="1">
        <v>0</v>
      </c>
      <c r="V96" s="1">
        <v>0</v>
      </c>
      <c r="W96" s="1" t="s">
        <v>56</v>
      </c>
      <c r="X96" s="1">
        <f t="shared" si="10"/>
        <v>0</v>
      </c>
      <c r="Y96" s="1" t="s">
        <v>56</v>
      </c>
      <c r="Z96" s="1">
        <f t="shared" si="11"/>
        <v>0</v>
      </c>
      <c r="AA96" s="1">
        <v>0</v>
      </c>
      <c r="AB96" s="1" t="s">
        <v>56</v>
      </c>
      <c r="AC96" s="1">
        <f t="shared" si="12"/>
        <v>0</v>
      </c>
      <c r="AD96" s="1" t="s">
        <v>1278</v>
      </c>
      <c r="AE96" s="1">
        <f t="shared" si="13"/>
        <v>156500</v>
      </c>
    </row>
    <row r="97" spans="1:31" x14ac:dyDescent="0.35">
      <c r="A97" s="1" t="s">
        <v>1298</v>
      </c>
      <c r="B97" s="1" t="s">
        <v>1299</v>
      </c>
      <c r="C97" s="1" t="s">
        <v>54</v>
      </c>
      <c r="D97" s="1">
        <v>332</v>
      </c>
      <c r="E97" s="2" t="s">
        <v>28</v>
      </c>
      <c r="F97" s="1">
        <f t="shared" si="7"/>
        <v>0</v>
      </c>
      <c r="G97" s="1">
        <v>2900</v>
      </c>
      <c r="H97" s="1">
        <v>0</v>
      </c>
      <c r="I97" s="1">
        <v>1454901</v>
      </c>
      <c r="J97" s="1">
        <v>2400026</v>
      </c>
      <c r="K97" s="1">
        <v>0</v>
      </c>
      <c r="L97" s="1">
        <v>0</v>
      </c>
      <c r="M97" s="1">
        <v>3854927</v>
      </c>
      <c r="N97" s="1">
        <v>0</v>
      </c>
      <c r="O97" s="1">
        <v>0</v>
      </c>
      <c r="P97" s="1" t="s">
        <v>28</v>
      </c>
      <c r="Q97" s="1">
        <f t="shared" si="8"/>
        <v>0</v>
      </c>
      <c r="R97" s="1" t="s">
        <v>56</v>
      </c>
      <c r="S97" s="1">
        <f t="shared" si="9"/>
        <v>0</v>
      </c>
      <c r="T97" s="1">
        <v>-1233012</v>
      </c>
      <c r="U97" s="1">
        <v>-195101</v>
      </c>
      <c r="V97" s="1">
        <v>0</v>
      </c>
      <c r="W97" s="1" t="s">
        <v>1300</v>
      </c>
      <c r="X97" s="1">
        <f t="shared" si="10"/>
        <v>-141939</v>
      </c>
      <c r="Y97" s="1" t="s">
        <v>1301</v>
      </c>
      <c r="Z97" s="1">
        <f t="shared" si="11"/>
        <v>-41984</v>
      </c>
      <c r="AA97" s="1">
        <v>-1612036</v>
      </c>
      <c r="AB97" s="1" t="s">
        <v>56</v>
      </c>
      <c r="AC97" s="1">
        <f t="shared" si="12"/>
        <v>0</v>
      </c>
      <c r="AD97" s="1" t="s">
        <v>56</v>
      </c>
      <c r="AE97" s="1">
        <f t="shared" si="13"/>
        <v>0</v>
      </c>
    </row>
    <row r="98" spans="1:31" x14ac:dyDescent="0.35">
      <c r="A98" s="1" t="s">
        <v>1323</v>
      </c>
      <c r="B98" s="1" t="s">
        <v>1324</v>
      </c>
      <c r="C98" s="1" t="s">
        <v>54</v>
      </c>
      <c r="D98" s="1">
        <v>96</v>
      </c>
      <c r="E98" s="2" t="s">
        <v>1325</v>
      </c>
      <c r="F98" s="1">
        <f t="shared" si="7"/>
        <v>1724</v>
      </c>
      <c r="G98" s="1">
        <v>0</v>
      </c>
      <c r="H98" s="1">
        <v>0</v>
      </c>
      <c r="I98" s="1">
        <v>37578236</v>
      </c>
      <c r="J98" s="1">
        <v>227475</v>
      </c>
      <c r="K98" s="1">
        <v>309965</v>
      </c>
      <c r="L98" s="1">
        <v>0</v>
      </c>
      <c r="M98" s="1">
        <v>38115676</v>
      </c>
      <c r="N98" s="1">
        <v>0</v>
      </c>
      <c r="O98" s="1">
        <v>0</v>
      </c>
      <c r="P98" s="1" t="s">
        <v>28</v>
      </c>
      <c r="Q98" s="1">
        <f t="shared" si="8"/>
        <v>0</v>
      </c>
      <c r="R98" s="1" t="s">
        <v>56</v>
      </c>
      <c r="S98" s="1">
        <f t="shared" si="9"/>
        <v>0</v>
      </c>
      <c r="T98" s="1">
        <v>0</v>
      </c>
      <c r="U98" s="1">
        <v>125674</v>
      </c>
      <c r="V98" s="1">
        <v>0</v>
      </c>
      <c r="W98" s="1" t="s">
        <v>56</v>
      </c>
      <c r="X98" s="1">
        <f t="shared" si="10"/>
        <v>0</v>
      </c>
      <c r="Y98" s="1" t="s">
        <v>56</v>
      </c>
      <c r="Z98" s="1">
        <f t="shared" si="11"/>
        <v>0</v>
      </c>
      <c r="AA98" s="1">
        <v>125674</v>
      </c>
      <c r="AB98" s="1" t="s">
        <v>1326</v>
      </c>
      <c r="AC98" s="1">
        <f t="shared" si="12"/>
        <v>330800</v>
      </c>
      <c r="AD98" s="1" t="s">
        <v>1327</v>
      </c>
      <c r="AE98" s="1">
        <f t="shared" si="13"/>
        <v>128901</v>
      </c>
    </row>
    <row r="99" spans="1:31" x14ac:dyDescent="0.35">
      <c r="A99" s="1" t="s">
        <v>34</v>
      </c>
      <c r="B99" s="1" t="s">
        <v>35</v>
      </c>
      <c r="C99" s="1" t="s">
        <v>36</v>
      </c>
      <c r="D99" s="1">
        <v>42</v>
      </c>
      <c r="E99" s="2" t="s">
        <v>37</v>
      </c>
      <c r="F99" s="1">
        <f t="shared" si="7"/>
        <v>8225</v>
      </c>
      <c r="G99" s="1">
        <v>650</v>
      </c>
      <c r="H99" s="1">
        <v>0</v>
      </c>
      <c r="I99" s="1">
        <v>13306326</v>
      </c>
      <c r="J99" s="1">
        <v>6813125</v>
      </c>
      <c r="K99" s="1">
        <v>169000</v>
      </c>
      <c r="L99" s="1">
        <v>0</v>
      </c>
      <c r="M99" s="1">
        <v>20027451</v>
      </c>
      <c r="N99" s="1">
        <v>261000</v>
      </c>
      <c r="O99" s="1">
        <v>0</v>
      </c>
      <c r="P99" s="1" t="s">
        <v>28</v>
      </c>
      <c r="Q99" s="1">
        <f t="shared" si="8"/>
        <v>0</v>
      </c>
      <c r="R99" s="1" t="s">
        <v>38</v>
      </c>
      <c r="S99" s="1">
        <f t="shared" si="9"/>
        <v>76942</v>
      </c>
      <c r="T99" s="1">
        <v>-393570</v>
      </c>
      <c r="U99" s="1">
        <v>-444775</v>
      </c>
      <c r="V99" s="1">
        <v>0</v>
      </c>
      <c r="W99" s="1" t="s">
        <v>39</v>
      </c>
      <c r="X99" s="1">
        <f t="shared" si="10"/>
        <v>-1529823</v>
      </c>
      <c r="Y99" s="1" t="s">
        <v>40</v>
      </c>
      <c r="Z99" s="1">
        <f t="shared" si="11"/>
        <v>-756582</v>
      </c>
      <c r="AA99" s="1">
        <v>-3047808</v>
      </c>
      <c r="AB99" s="1" t="s">
        <v>41</v>
      </c>
      <c r="AC99" s="1">
        <f t="shared" si="12"/>
        <v>1154972</v>
      </c>
      <c r="AD99" s="1" t="s">
        <v>42</v>
      </c>
      <c r="AE99" s="1">
        <f t="shared" si="13"/>
        <v>528858</v>
      </c>
    </row>
    <row r="100" spans="1:31" x14ac:dyDescent="0.35">
      <c r="A100" s="1" t="s">
        <v>125</v>
      </c>
      <c r="B100" s="1" t="s">
        <v>126</v>
      </c>
      <c r="C100" s="1" t="s">
        <v>36</v>
      </c>
      <c r="D100" s="1">
        <v>17</v>
      </c>
      <c r="E100" s="2" t="s">
        <v>28</v>
      </c>
      <c r="F100" s="1">
        <f t="shared" si="7"/>
        <v>0</v>
      </c>
      <c r="G100" s="1">
        <v>0</v>
      </c>
      <c r="H100" s="1">
        <v>15536000</v>
      </c>
      <c r="I100" s="1">
        <v>11968070</v>
      </c>
      <c r="J100" s="1">
        <v>3901930</v>
      </c>
      <c r="K100" s="1">
        <v>98493</v>
      </c>
      <c r="L100" s="1">
        <v>0</v>
      </c>
      <c r="M100" s="1">
        <v>31504493</v>
      </c>
      <c r="N100" s="1">
        <v>0</v>
      </c>
      <c r="O100" s="1">
        <v>3</v>
      </c>
      <c r="P100" s="1" t="s">
        <v>127</v>
      </c>
      <c r="Q100" s="1">
        <f t="shared" si="8"/>
        <v>78085</v>
      </c>
      <c r="R100" s="1" t="s">
        <v>128</v>
      </c>
      <c r="S100" s="1">
        <f t="shared" si="9"/>
        <v>-429688</v>
      </c>
      <c r="T100" s="1">
        <v>-397040</v>
      </c>
      <c r="U100" s="1">
        <v>-2082</v>
      </c>
      <c r="V100" s="1">
        <v>0</v>
      </c>
      <c r="W100" s="1" t="s">
        <v>129</v>
      </c>
      <c r="X100" s="1">
        <f t="shared" si="10"/>
        <v>-683801</v>
      </c>
      <c r="Y100" s="1" t="s">
        <v>130</v>
      </c>
      <c r="Z100" s="1">
        <f t="shared" si="11"/>
        <v>-488410</v>
      </c>
      <c r="AA100" s="1">
        <v>-2001021</v>
      </c>
      <c r="AB100" s="1" t="s">
        <v>131</v>
      </c>
      <c r="AC100" s="1">
        <f t="shared" si="12"/>
        <v>96160</v>
      </c>
      <c r="AD100" s="1" t="s">
        <v>132</v>
      </c>
      <c r="AE100" s="1">
        <f t="shared" si="13"/>
        <v>245543</v>
      </c>
    </row>
    <row r="101" spans="1:31" x14ac:dyDescent="0.35">
      <c r="A101" s="1" t="s">
        <v>241</v>
      </c>
      <c r="B101" s="1" t="s">
        <v>242</v>
      </c>
      <c r="C101" s="1" t="s">
        <v>36</v>
      </c>
      <c r="D101" s="1">
        <v>39</v>
      </c>
      <c r="E101" s="2" t="s">
        <v>243</v>
      </c>
      <c r="F101" s="1">
        <f t="shared" si="7"/>
        <v>923</v>
      </c>
      <c r="G101" s="1">
        <v>0</v>
      </c>
      <c r="H101" s="1">
        <v>31498503</v>
      </c>
      <c r="I101" s="1">
        <v>1957697</v>
      </c>
      <c r="J101" s="1">
        <v>3728597</v>
      </c>
      <c r="K101" s="1">
        <v>512808</v>
      </c>
      <c r="L101" s="1">
        <v>0</v>
      </c>
      <c r="M101" s="1">
        <v>37668046</v>
      </c>
      <c r="N101" s="1">
        <v>29559</v>
      </c>
      <c r="O101" s="1">
        <v>3</v>
      </c>
      <c r="P101" s="1" t="s">
        <v>244</v>
      </c>
      <c r="Q101" s="1">
        <f t="shared" si="8"/>
        <v>2037443</v>
      </c>
      <c r="R101" s="1" t="s">
        <v>245</v>
      </c>
      <c r="S101" s="1">
        <f t="shared" si="9"/>
        <v>-127778</v>
      </c>
      <c r="T101" s="1">
        <v>-950089</v>
      </c>
      <c r="U101" s="1">
        <v>-260337</v>
      </c>
      <c r="V101" s="1">
        <v>-13068</v>
      </c>
      <c r="W101" s="1" t="s">
        <v>246</v>
      </c>
      <c r="X101" s="1">
        <f t="shared" si="10"/>
        <v>-1981870</v>
      </c>
      <c r="Y101" s="1" t="s">
        <v>247</v>
      </c>
      <c r="Z101" s="1">
        <f t="shared" si="11"/>
        <v>-234318</v>
      </c>
      <c r="AA101" s="1">
        <v>-3567460</v>
      </c>
      <c r="AB101" s="1" t="s">
        <v>248</v>
      </c>
      <c r="AC101" s="1">
        <f t="shared" si="12"/>
        <v>2383687</v>
      </c>
      <c r="AD101" s="1" t="s">
        <v>249</v>
      </c>
      <c r="AE101" s="1">
        <f t="shared" si="13"/>
        <v>127042</v>
      </c>
    </row>
    <row r="102" spans="1:31" x14ac:dyDescent="0.35">
      <c r="A102" s="1" t="s">
        <v>250</v>
      </c>
      <c r="B102" s="1" t="s">
        <v>251</v>
      </c>
      <c r="C102" s="1" t="s">
        <v>36</v>
      </c>
      <c r="D102" s="1">
        <v>175</v>
      </c>
      <c r="E102" s="2" t="s">
        <v>56</v>
      </c>
      <c r="F102" s="1">
        <f t="shared" si="7"/>
        <v>0</v>
      </c>
      <c r="G102" s="1">
        <v>3998</v>
      </c>
      <c r="H102" s="1">
        <v>2452281</v>
      </c>
      <c r="I102" s="1">
        <v>11632100</v>
      </c>
      <c r="J102" s="1">
        <v>1080755</v>
      </c>
      <c r="K102" s="1">
        <v>3046300</v>
      </c>
      <c r="L102" s="1">
        <v>0</v>
      </c>
      <c r="M102" s="1">
        <v>18211436</v>
      </c>
      <c r="N102" s="1">
        <v>0</v>
      </c>
      <c r="O102" s="1">
        <v>1</v>
      </c>
      <c r="P102" s="1" t="s">
        <v>252</v>
      </c>
      <c r="Q102" s="1">
        <f t="shared" si="8"/>
        <v>2646591</v>
      </c>
      <c r="R102" s="1" t="s">
        <v>253</v>
      </c>
      <c r="S102" s="1">
        <f t="shared" si="9"/>
        <v>-123111</v>
      </c>
      <c r="T102" s="1">
        <v>-202964</v>
      </c>
      <c r="U102" s="1">
        <v>-166</v>
      </c>
      <c r="V102" s="1">
        <v>0</v>
      </c>
      <c r="W102" s="1" t="s">
        <v>254</v>
      </c>
      <c r="X102" s="1">
        <f t="shared" si="10"/>
        <v>-736856</v>
      </c>
      <c r="Y102" s="1" t="s">
        <v>255</v>
      </c>
      <c r="Z102" s="1">
        <f t="shared" si="11"/>
        <v>-121252</v>
      </c>
      <c r="AA102" s="1">
        <v>-1184349</v>
      </c>
      <c r="AB102" s="1" t="s">
        <v>256</v>
      </c>
      <c r="AC102" s="1">
        <f t="shared" si="12"/>
        <v>257690</v>
      </c>
      <c r="AD102" s="1" t="s">
        <v>257</v>
      </c>
      <c r="AE102" s="1">
        <f t="shared" si="13"/>
        <v>192892</v>
      </c>
    </row>
    <row r="103" spans="1:31" x14ac:dyDescent="0.35">
      <c r="A103" s="1" t="s">
        <v>258</v>
      </c>
      <c r="B103" s="1" t="s">
        <v>259</v>
      </c>
      <c r="C103" s="1" t="s">
        <v>36</v>
      </c>
      <c r="D103" s="1">
        <v>3</v>
      </c>
      <c r="E103" s="2" t="s">
        <v>260</v>
      </c>
      <c r="F103" s="1">
        <f t="shared" si="7"/>
        <v>1500</v>
      </c>
      <c r="G103" s="1">
        <v>2480</v>
      </c>
      <c r="H103" s="1">
        <v>0</v>
      </c>
      <c r="I103" s="1">
        <v>21227916</v>
      </c>
      <c r="J103" s="1">
        <v>1221839</v>
      </c>
      <c r="K103" s="1">
        <v>29231</v>
      </c>
      <c r="L103" s="1">
        <v>0</v>
      </c>
      <c r="M103" s="1">
        <v>22478986</v>
      </c>
      <c r="N103" s="1">
        <v>0</v>
      </c>
      <c r="O103" s="1">
        <v>0</v>
      </c>
      <c r="P103" s="1" t="s">
        <v>28</v>
      </c>
      <c r="Q103" s="1">
        <f t="shared" si="8"/>
        <v>0</v>
      </c>
      <c r="R103" s="1" t="s">
        <v>261</v>
      </c>
      <c r="S103" s="1">
        <f t="shared" si="9"/>
        <v>-52783</v>
      </c>
      <c r="T103" s="1">
        <v>-7700</v>
      </c>
      <c r="U103" s="1">
        <v>-14709</v>
      </c>
      <c r="V103" s="1">
        <v>0</v>
      </c>
      <c r="W103" s="1" t="s">
        <v>262</v>
      </c>
      <c r="X103" s="1">
        <f t="shared" si="10"/>
        <v>-1246829</v>
      </c>
      <c r="Y103" s="1" t="s">
        <v>263</v>
      </c>
      <c r="Z103" s="1">
        <f t="shared" si="11"/>
        <v>-47277</v>
      </c>
      <c r="AA103" s="1">
        <v>-1369298</v>
      </c>
      <c r="AB103" s="1" t="s">
        <v>264</v>
      </c>
      <c r="AC103" s="1">
        <f t="shared" si="12"/>
        <v>715884</v>
      </c>
      <c r="AD103" s="1" t="s">
        <v>56</v>
      </c>
      <c r="AE103" s="1">
        <f t="shared" si="13"/>
        <v>0</v>
      </c>
    </row>
    <row r="104" spans="1:31" x14ac:dyDescent="0.35">
      <c r="A104" s="1" t="s">
        <v>265</v>
      </c>
      <c r="B104" s="1" t="s">
        <v>266</v>
      </c>
      <c r="C104" s="1" t="s">
        <v>36</v>
      </c>
      <c r="D104" s="1">
        <v>36</v>
      </c>
      <c r="E104" s="2" t="s">
        <v>267</v>
      </c>
      <c r="F104" s="1">
        <f t="shared" si="7"/>
        <v>5000</v>
      </c>
      <c r="G104" s="1">
        <v>336</v>
      </c>
      <c r="H104" s="1">
        <v>522000</v>
      </c>
      <c r="I104" s="1">
        <v>5225000</v>
      </c>
      <c r="J104" s="1">
        <v>1015000</v>
      </c>
      <c r="K104" s="1">
        <v>620000</v>
      </c>
      <c r="L104" s="1">
        <v>0</v>
      </c>
      <c r="M104" s="1">
        <v>2937000</v>
      </c>
      <c r="N104" s="1">
        <v>4445000</v>
      </c>
      <c r="O104" s="1">
        <v>0</v>
      </c>
      <c r="P104" s="1" t="s">
        <v>28</v>
      </c>
      <c r="Q104" s="1">
        <f t="shared" si="8"/>
        <v>0</v>
      </c>
      <c r="R104" s="1" t="s">
        <v>268</v>
      </c>
      <c r="S104" s="1">
        <f t="shared" si="9"/>
        <v>-215327</v>
      </c>
      <c r="T104" s="1">
        <v>0</v>
      </c>
      <c r="U104" s="1">
        <v>-435273</v>
      </c>
      <c r="V104" s="1">
        <v>0</v>
      </c>
      <c r="W104" s="1" t="s">
        <v>269</v>
      </c>
      <c r="X104" s="1">
        <f t="shared" si="10"/>
        <v>-20181</v>
      </c>
      <c r="Y104" s="1" t="s">
        <v>270</v>
      </c>
      <c r="Z104" s="1">
        <f t="shared" si="11"/>
        <v>-490</v>
      </c>
      <c r="AA104" s="1">
        <v>-671271</v>
      </c>
      <c r="AB104" s="1" t="s">
        <v>271</v>
      </c>
      <c r="AC104" s="1">
        <f t="shared" si="12"/>
        <v>763727</v>
      </c>
      <c r="AD104" s="1" t="s">
        <v>272</v>
      </c>
      <c r="AE104" s="1">
        <f t="shared" si="13"/>
        <v>4221</v>
      </c>
    </row>
    <row r="105" spans="1:31" x14ac:dyDescent="0.35">
      <c r="A105" s="1" t="s">
        <v>361</v>
      </c>
      <c r="B105" s="1" t="s">
        <v>362</v>
      </c>
      <c r="C105" s="1" t="s">
        <v>36</v>
      </c>
      <c r="D105" s="1">
        <v>1</v>
      </c>
      <c r="E105" s="2" t="s">
        <v>28</v>
      </c>
      <c r="F105" s="1">
        <f t="shared" si="7"/>
        <v>0</v>
      </c>
      <c r="G105" s="1">
        <v>11500</v>
      </c>
      <c r="H105" s="1">
        <v>1441535</v>
      </c>
      <c r="I105" s="1">
        <v>4226929</v>
      </c>
      <c r="J105" s="1">
        <v>2958104</v>
      </c>
      <c r="K105" s="1">
        <v>259338</v>
      </c>
      <c r="L105" s="1">
        <v>0</v>
      </c>
      <c r="M105" s="1">
        <v>8885906</v>
      </c>
      <c r="N105" s="1">
        <v>0</v>
      </c>
      <c r="O105" s="1">
        <v>2</v>
      </c>
      <c r="P105" s="1" t="s">
        <v>363</v>
      </c>
      <c r="Q105" s="1">
        <f t="shared" si="8"/>
        <v>37190</v>
      </c>
      <c r="R105" s="1" t="s">
        <v>364</v>
      </c>
      <c r="S105" s="1">
        <f t="shared" si="9"/>
        <v>-162214</v>
      </c>
      <c r="T105" s="1">
        <v>-13113</v>
      </c>
      <c r="U105" s="1">
        <v>-19646</v>
      </c>
      <c r="V105" s="1">
        <v>0</v>
      </c>
      <c r="W105" s="1" t="s">
        <v>365</v>
      </c>
      <c r="X105" s="1">
        <f t="shared" si="10"/>
        <v>-1063251</v>
      </c>
      <c r="Y105" s="1" t="s">
        <v>366</v>
      </c>
      <c r="Z105" s="1">
        <f t="shared" si="11"/>
        <v>-485501</v>
      </c>
      <c r="AA105" s="1">
        <v>-1743725</v>
      </c>
      <c r="AB105" s="1" t="s">
        <v>367</v>
      </c>
      <c r="AC105" s="1">
        <f t="shared" si="12"/>
        <v>991526</v>
      </c>
      <c r="AD105" s="1" t="s">
        <v>368</v>
      </c>
      <c r="AE105" s="1">
        <f t="shared" si="13"/>
        <v>65447</v>
      </c>
    </row>
    <row r="106" spans="1:31" x14ac:dyDescent="0.35">
      <c r="A106" s="1" t="s">
        <v>369</v>
      </c>
      <c r="B106" s="1" t="s">
        <v>370</v>
      </c>
      <c r="C106" s="1" t="s">
        <v>36</v>
      </c>
      <c r="D106" s="1">
        <v>136</v>
      </c>
      <c r="E106" s="2" t="s">
        <v>371</v>
      </c>
      <c r="F106" s="1">
        <f t="shared" si="7"/>
        <v>11740</v>
      </c>
      <c r="G106" s="1">
        <v>1726</v>
      </c>
      <c r="H106" s="1">
        <v>270000</v>
      </c>
      <c r="I106" s="1">
        <v>2964000</v>
      </c>
      <c r="J106" s="1">
        <v>2869000</v>
      </c>
      <c r="K106" s="1">
        <v>799000</v>
      </c>
      <c r="L106" s="1">
        <v>0</v>
      </c>
      <c r="M106" s="1">
        <v>6902000</v>
      </c>
      <c r="N106" s="1">
        <v>0</v>
      </c>
      <c r="O106" s="1">
        <v>0</v>
      </c>
      <c r="P106" s="1" t="s">
        <v>28</v>
      </c>
      <c r="Q106" s="1">
        <f t="shared" si="8"/>
        <v>0</v>
      </c>
      <c r="R106" s="1" t="s">
        <v>56</v>
      </c>
      <c r="S106" s="1">
        <f t="shared" si="9"/>
        <v>0</v>
      </c>
      <c r="T106" s="1">
        <v>0</v>
      </c>
      <c r="U106" s="1">
        <v>-138949</v>
      </c>
      <c r="V106" s="1">
        <v>0</v>
      </c>
      <c r="W106" s="1" t="s">
        <v>372</v>
      </c>
      <c r="X106" s="1">
        <f t="shared" si="10"/>
        <v>-597937</v>
      </c>
      <c r="Y106" s="1" t="s">
        <v>373</v>
      </c>
      <c r="Z106" s="1">
        <f t="shared" si="11"/>
        <v>-443519</v>
      </c>
      <c r="AA106" s="1">
        <v>-1180405</v>
      </c>
      <c r="AB106" s="1" t="s">
        <v>374</v>
      </c>
      <c r="AC106" s="1">
        <f t="shared" si="12"/>
        <v>1488433</v>
      </c>
      <c r="AD106" s="1" t="s">
        <v>375</v>
      </c>
      <c r="AE106" s="1">
        <f t="shared" si="13"/>
        <v>91697</v>
      </c>
    </row>
    <row r="107" spans="1:31" x14ac:dyDescent="0.35">
      <c r="A107" s="1" t="s">
        <v>384</v>
      </c>
      <c r="B107" s="1" t="s">
        <v>385</v>
      </c>
      <c r="C107" s="1" t="s">
        <v>36</v>
      </c>
      <c r="D107" s="1">
        <v>29</v>
      </c>
      <c r="E107" s="2" t="s">
        <v>28</v>
      </c>
      <c r="F107" s="1">
        <f t="shared" si="7"/>
        <v>0</v>
      </c>
      <c r="G107" s="1">
        <v>1422</v>
      </c>
      <c r="H107" s="1">
        <v>10629</v>
      </c>
      <c r="I107" s="1">
        <v>2978074</v>
      </c>
      <c r="J107" s="1">
        <v>507352</v>
      </c>
      <c r="K107" s="1">
        <v>5000</v>
      </c>
      <c r="L107" s="1">
        <v>0</v>
      </c>
      <c r="M107" s="1">
        <v>3501055</v>
      </c>
      <c r="N107" s="1">
        <v>0</v>
      </c>
      <c r="O107" s="1">
        <v>0</v>
      </c>
      <c r="P107" s="1" t="s">
        <v>28</v>
      </c>
      <c r="Q107" s="1">
        <f t="shared" si="8"/>
        <v>0</v>
      </c>
      <c r="R107" s="1" t="s">
        <v>56</v>
      </c>
      <c r="S107" s="1">
        <f t="shared" si="9"/>
        <v>0</v>
      </c>
      <c r="T107" s="1">
        <v>0</v>
      </c>
      <c r="U107" s="1">
        <v>452964</v>
      </c>
      <c r="V107" s="1">
        <v>0</v>
      </c>
      <c r="W107" s="1" t="s">
        <v>56</v>
      </c>
      <c r="X107" s="1">
        <f t="shared" si="10"/>
        <v>0</v>
      </c>
      <c r="Y107" s="1" t="s">
        <v>56</v>
      </c>
      <c r="Z107" s="1">
        <f t="shared" si="11"/>
        <v>0</v>
      </c>
      <c r="AA107" s="1">
        <v>452964</v>
      </c>
      <c r="AB107" s="1" t="s">
        <v>386</v>
      </c>
      <c r="AC107" s="1">
        <f t="shared" si="12"/>
        <v>380280</v>
      </c>
      <c r="AD107" s="1" t="s">
        <v>387</v>
      </c>
      <c r="AE107" s="1">
        <f t="shared" si="13"/>
        <v>100064</v>
      </c>
    </row>
    <row r="108" spans="1:31" x14ac:dyDescent="0.35">
      <c r="A108" s="1" t="s">
        <v>447</v>
      </c>
      <c r="B108" s="1" t="s">
        <v>448</v>
      </c>
      <c r="C108" s="1" t="s">
        <v>36</v>
      </c>
      <c r="D108" s="1">
        <v>32</v>
      </c>
      <c r="E108" s="2" t="s">
        <v>28</v>
      </c>
      <c r="F108" s="1">
        <f t="shared" si="7"/>
        <v>0</v>
      </c>
      <c r="G108" s="1">
        <v>25500</v>
      </c>
      <c r="H108" s="1">
        <v>0</v>
      </c>
      <c r="I108" s="1">
        <v>26655277</v>
      </c>
      <c r="J108" s="1">
        <v>0</v>
      </c>
      <c r="K108" s="1">
        <v>651633</v>
      </c>
      <c r="L108" s="1">
        <v>0</v>
      </c>
      <c r="M108" s="1">
        <v>26742788</v>
      </c>
      <c r="N108" s="1">
        <v>564122</v>
      </c>
      <c r="O108" s="1">
        <v>2</v>
      </c>
      <c r="P108" s="1" t="s">
        <v>449</v>
      </c>
      <c r="Q108" s="1">
        <f t="shared" si="8"/>
        <v>638461</v>
      </c>
      <c r="R108" s="1" t="s">
        <v>450</v>
      </c>
      <c r="S108" s="1">
        <f t="shared" si="9"/>
        <v>-504464</v>
      </c>
      <c r="T108" s="1">
        <v>-64586</v>
      </c>
      <c r="U108" s="1">
        <v>0</v>
      </c>
      <c r="V108" s="1">
        <v>0</v>
      </c>
      <c r="W108" s="1" t="s">
        <v>451</v>
      </c>
      <c r="X108" s="1">
        <f t="shared" si="10"/>
        <v>-2185930</v>
      </c>
      <c r="Y108" s="1" t="s">
        <v>452</v>
      </c>
      <c r="Z108" s="1">
        <f t="shared" si="11"/>
        <v>-1001574</v>
      </c>
      <c r="AA108" s="1">
        <v>-3756554</v>
      </c>
      <c r="AB108" s="1" t="s">
        <v>453</v>
      </c>
      <c r="AC108" s="1">
        <f t="shared" si="12"/>
        <v>4042420</v>
      </c>
      <c r="AD108" s="1" t="s">
        <v>454</v>
      </c>
      <c r="AE108" s="1">
        <f t="shared" si="13"/>
        <v>168454</v>
      </c>
    </row>
    <row r="109" spans="1:31" x14ac:dyDescent="0.35">
      <c r="A109" s="1" t="s">
        <v>521</v>
      </c>
      <c r="B109" s="1" t="s">
        <v>522</v>
      </c>
      <c r="C109" s="1" t="s">
        <v>36</v>
      </c>
      <c r="D109" s="1">
        <v>53</v>
      </c>
      <c r="E109" s="2" t="s">
        <v>523</v>
      </c>
      <c r="F109" s="1">
        <f t="shared" si="7"/>
        <v>95900</v>
      </c>
      <c r="G109" s="1">
        <v>0</v>
      </c>
      <c r="H109" s="1">
        <v>8520258</v>
      </c>
      <c r="I109" s="1">
        <v>16459207</v>
      </c>
      <c r="J109" s="1">
        <v>6037152</v>
      </c>
      <c r="K109" s="1">
        <v>624928</v>
      </c>
      <c r="L109" s="1">
        <v>0</v>
      </c>
      <c r="M109" s="1">
        <v>31641545</v>
      </c>
      <c r="N109" s="1">
        <v>0</v>
      </c>
      <c r="O109" s="1">
        <v>1</v>
      </c>
      <c r="P109" s="1" t="s">
        <v>524</v>
      </c>
      <c r="Q109" s="1">
        <f t="shared" si="8"/>
        <v>936000</v>
      </c>
      <c r="R109" s="1" t="s">
        <v>525</v>
      </c>
      <c r="S109" s="1">
        <f t="shared" si="9"/>
        <v>-98317</v>
      </c>
      <c r="T109" s="1">
        <v>-210304</v>
      </c>
      <c r="U109" s="1">
        <v>0</v>
      </c>
      <c r="V109" s="1">
        <v>0</v>
      </c>
      <c r="W109" s="1" t="s">
        <v>526</v>
      </c>
      <c r="X109" s="1">
        <f t="shared" si="10"/>
        <v>-1535197</v>
      </c>
      <c r="Y109" s="1" t="s">
        <v>527</v>
      </c>
      <c r="Z109" s="1">
        <f t="shared" si="11"/>
        <v>-477469</v>
      </c>
      <c r="AA109" s="1">
        <v>-2321287</v>
      </c>
      <c r="AB109" s="1" t="s">
        <v>528</v>
      </c>
      <c r="AC109" s="1">
        <f t="shared" si="12"/>
        <v>2582469</v>
      </c>
      <c r="AD109" s="1" t="s">
        <v>529</v>
      </c>
      <c r="AE109" s="1">
        <f t="shared" si="13"/>
        <v>232070</v>
      </c>
    </row>
    <row r="110" spans="1:31" x14ac:dyDescent="0.35">
      <c r="A110" s="1" t="s">
        <v>680</v>
      </c>
      <c r="B110" s="1" t="s">
        <v>681</v>
      </c>
      <c r="C110" s="1" t="s">
        <v>36</v>
      </c>
      <c r="D110" s="1">
        <v>45</v>
      </c>
      <c r="E110" s="2" t="s">
        <v>56</v>
      </c>
      <c r="F110" s="1">
        <f t="shared" si="7"/>
        <v>0</v>
      </c>
      <c r="G110" s="1">
        <v>3653</v>
      </c>
      <c r="H110" s="1">
        <v>24549624</v>
      </c>
      <c r="I110" s="1">
        <v>1935695</v>
      </c>
      <c r="J110" s="1">
        <v>889493</v>
      </c>
      <c r="K110" s="1">
        <v>611060</v>
      </c>
      <c r="L110" s="1">
        <v>1737318</v>
      </c>
      <c r="M110" s="1">
        <v>26248554</v>
      </c>
      <c r="N110" s="1">
        <v>0</v>
      </c>
      <c r="O110" s="1">
        <v>0</v>
      </c>
      <c r="P110" s="1" t="s">
        <v>28</v>
      </c>
      <c r="Q110" s="1">
        <f t="shared" si="8"/>
        <v>0</v>
      </c>
      <c r="R110" s="1" t="s">
        <v>682</v>
      </c>
      <c r="S110" s="1">
        <f t="shared" si="9"/>
        <v>-26644</v>
      </c>
      <c r="T110" s="1">
        <v>-45377</v>
      </c>
      <c r="U110" s="1">
        <v>0</v>
      </c>
      <c r="V110" s="1">
        <v>0</v>
      </c>
      <c r="W110" s="1" t="s">
        <v>683</v>
      </c>
      <c r="X110" s="1">
        <f t="shared" si="10"/>
        <v>-396777</v>
      </c>
      <c r="Y110" s="1" t="s">
        <v>684</v>
      </c>
      <c r="Z110" s="1">
        <f t="shared" si="11"/>
        <v>-649251</v>
      </c>
      <c r="AA110" s="1">
        <v>-1118049</v>
      </c>
      <c r="AB110" s="1" t="s">
        <v>685</v>
      </c>
      <c r="AC110" s="1">
        <f t="shared" si="12"/>
        <v>2108094</v>
      </c>
      <c r="AD110" s="1" t="s">
        <v>686</v>
      </c>
      <c r="AE110" s="1">
        <f t="shared" si="13"/>
        <v>163424</v>
      </c>
    </row>
    <row r="111" spans="1:31" x14ac:dyDescent="0.35">
      <c r="A111" s="1" t="s">
        <v>722</v>
      </c>
      <c r="B111" s="1" t="s">
        <v>723</v>
      </c>
      <c r="C111" s="1" t="s">
        <v>36</v>
      </c>
      <c r="D111" s="1">
        <v>8</v>
      </c>
      <c r="E111" s="2" t="s">
        <v>724</v>
      </c>
      <c r="F111" s="1">
        <f t="shared" si="7"/>
        <v>61653</v>
      </c>
      <c r="G111" s="1">
        <v>5554</v>
      </c>
      <c r="H111" s="1">
        <v>39569000</v>
      </c>
      <c r="I111" s="1">
        <v>2872808</v>
      </c>
      <c r="J111" s="1">
        <v>7209742</v>
      </c>
      <c r="K111" s="1">
        <v>7245513</v>
      </c>
      <c r="L111" s="1">
        <v>0</v>
      </c>
      <c r="M111" s="1">
        <v>56221914</v>
      </c>
      <c r="N111" s="1">
        <v>675149</v>
      </c>
      <c r="O111" s="1">
        <v>0</v>
      </c>
      <c r="P111" s="1" t="s">
        <v>28</v>
      </c>
      <c r="Q111" s="1">
        <f t="shared" si="8"/>
        <v>0</v>
      </c>
      <c r="R111" s="1" t="s">
        <v>725</v>
      </c>
      <c r="S111" s="1">
        <f t="shared" si="9"/>
        <v>-64131</v>
      </c>
      <c r="T111" s="1">
        <v>-1190223</v>
      </c>
      <c r="U111" s="1">
        <v>-32147</v>
      </c>
      <c r="V111" s="1">
        <v>0</v>
      </c>
      <c r="W111" s="1" t="s">
        <v>726</v>
      </c>
      <c r="X111" s="1">
        <f t="shared" si="10"/>
        <v>-811210</v>
      </c>
      <c r="Y111" s="1" t="s">
        <v>727</v>
      </c>
      <c r="Z111" s="1">
        <f t="shared" si="11"/>
        <v>-337115</v>
      </c>
      <c r="AA111" s="1">
        <v>-2434826</v>
      </c>
      <c r="AB111" s="1" t="s">
        <v>728</v>
      </c>
      <c r="AC111" s="1">
        <f t="shared" si="12"/>
        <v>2697735</v>
      </c>
      <c r="AD111" s="1" t="s">
        <v>729</v>
      </c>
      <c r="AE111" s="1">
        <f t="shared" si="13"/>
        <v>57883</v>
      </c>
    </row>
    <row r="112" spans="1:31" x14ac:dyDescent="0.35">
      <c r="A112" s="1" t="s">
        <v>801</v>
      </c>
      <c r="B112" s="1" t="s">
        <v>802</v>
      </c>
      <c r="C112" s="1" t="s">
        <v>36</v>
      </c>
      <c r="D112" s="1">
        <v>19</v>
      </c>
      <c r="E112" s="2" t="s">
        <v>28</v>
      </c>
      <c r="F112" s="1">
        <f t="shared" si="7"/>
        <v>0</v>
      </c>
      <c r="G112" s="1">
        <v>3039</v>
      </c>
      <c r="H112" s="1">
        <v>9648000</v>
      </c>
      <c r="I112" s="1">
        <v>5225000</v>
      </c>
      <c r="J112" s="1">
        <v>1197000</v>
      </c>
      <c r="K112" s="1">
        <v>363000</v>
      </c>
      <c r="L112" s="1">
        <v>0</v>
      </c>
      <c r="M112" s="1">
        <v>16417000</v>
      </c>
      <c r="N112" s="1">
        <v>16000</v>
      </c>
      <c r="O112" s="1">
        <v>3</v>
      </c>
      <c r="P112" s="1" t="s">
        <v>803</v>
      </c>
      <c r="Q112" s="1">
        <f t="shared" si="8"/>
        <v>36490</v>
      </c>
      <c r="R112" s="1" t="s">
        <v>804</v>
      </c>
      <c r="S112" s="1">
        <f t="shared" si="9"/>
        <v>-95669</v>
      </c>
      <c r="T112" s="1">
        <v>-287271</v>
      </c>
      <c r="U112" s="1">
        <v>-1700589</v>
      </c>
      <c r="V112" s="1">
        <v>0</v>
      </c>
      <c r="W112" s="1" t="s">
        <v>805</v>
      </c>
      <c r="X112" s="1">
        <f t="shared" si="10"/>
        <v>-586753</v>
      </c>
      <c r="Y112" s="1" t="s">
        <v>806</v>
      </c>
      <c r="Z112" s="1">
        <f t="shared" si="11"/>
        <v>-631296</v>
      </c>
      <c r="AA112" s="1">
        <v>-3301578</v>
      </c>
      <c r="AB112" s="1" t="s">
        <v>807</v>
      </c>
      <c r="AC112" s="1">
        <f t="shared" si="12"/>
        <v>735086</v>
      </c>
      <c r="AD112" s="1" t="s">
        <v>808</v>
      </c>
      <c r="AE112" s="1">
        <f t="shared" si="13"/>
        <v>38234</v>
      </c>
    </row>
    <row r="113" spans="1:31" x14ac:dyDescent="0.35">
      <c r="A113" s="1" t="s">
        <v>809</v>
      </c>
      <c r="B113" s="1" t="s">
        <v>810</v>
      </c>
      <c r="C113" s="1" t="s">
        <v>36</v>
      </c>
      <c r="D113" s="1">
        <v>17</v>
      </c>
      <c r="E113" s="2" t="s">
        <v>28</v>
      </c>
      <c r="F113" s="1">
        <f t="shared" si="7"/>
        <v>0</v>
      </c>
      <c r="G113" s="1">
        <v>35240</v>
      </c>
      <c r="H113" s="1">
        <v>14887011</v>
      </c>
      <c r="I113" s="1">
        <v>21830603</v>
      </c>
      <c r="J113" s="1">
        <v>13245392</v>
      </c>
      <c r="K113" s="1">
        <v>933019</v>
      </c>
      <c r="L113" s="1">
        <v>500000</v>
      </c>
      <c r="M113" s="1">
        <v>50163802</v>
      </c>
      <c r="N113" s="1">
        <v>232223</v>
      </c>
      <c r="O113" s="1">
        <v>7</v>
      </c>
      <c r="P113" s="1" t="s">
        <v>811</v>
      </c>
      <c r="Q113" s="1">
        <f t="shared" si="8"/>
        <v>1565720</v>
      </c>
      <c r="R113" s="1" t="s">
        <v>812</v>
      </c>
      <c r="S113" s="1">
        <f t="shared" si="9"/>
        <v>-1244015</v>
      </c>
      <c r="T113" s="1">
        <v>-7228612</v>
      </c>
      <c r="U113" s="1">
        <v>-1471971</v>
      </c>
      <c r="V113" s="1">
        <v>-710402</v>
      </c>
      <c r="W113" s="1" t="s">
        <v>813</v>
      </c>
      <c r="X113" s="1">
        <f t="shared" si="10"/>
        <v>-2184571</v>
      </c>
      <c r="Y113" s="1" t="s">
        <v>814</v>
      </c>
      <c r="Z113" s="1">
        <f t="shared" si="11"/>
        <v>-2207933</v>
      </c>
      <c r="AA113" s="1">
        <v>-15047504</v>
      </c>
      <c r="AB113" s="1" t="s">
        <v>815</v>
      </c>
      <c r="AC113" s="1">
        <f t="shared" si="12"/>
        <v>2124395</v>
      </c>
      <c r="AD113" s="1" t="s">
        <v>816</v>
      </c>
      <c r="AE113" s="1">
        <f t="shared" si="13"/>
        <v>302315</v>
      </c>
    </row>
    <row r="114" spans="1:31" x14ac:dyDescent="0.35">
      <c r="A114" s="1" t="s">
        <v>876</v>
      </c>
      <c r="B114" s="1" t="s">
        <v>877</v>
      </c>
      <c r="C114" s="1" t="s">
        <v>36</v>
      </c>
      <c r="D114" s="1">
        <v>31</v>
      </c>
      <c r="E114" s="2" t="s">
        <v>28</v>
      </c>
      <c r="F114" s="1">
        <f t="shared" si="7"/>
        <v>0</v>
      </c>
      <c r="G114" s="1">
        <v>9379</v>
      </c>
      <c r="H114" s="1">
        <v>0</v>
      </c>
      <c r="I114" s="1">
        <v>0</v>
      </c>
      <c r="J114" s="1">
        <v>24230700</v>
      </c>
      <c r="K114" s="1">
        <v>12902110</v>
      </c>
      <c r="L114" s="1">
        <v>0</v>
      </c>
      <c r="M114" s="1">
        <v>36267299</v>
      </c>
      <c r="N114" s="1">
        <v>865511</v>
      </c>
      <c r="O114" s="1">
        <v>1</v>
      </c>
      <c r="P114" s="1" t="s">
        <v>878</v>
      </c>
      <c r="Q114" s="1">
        <f t="shared" si="8"/>
        <v>250000</v>
      </c>
      <c r="R114" s="1" t="s">
        <v>56</v>
      </c>
      <c r="S114" s="1">
        <f t="shared" si="9"/>
        <v>0</v>
      </c>
      <c r="T114" s="1">
        <v>-408000</v>
      </c>
      <c r="U114" s="1">
        <v>0</v>
      </c>
      <c r="V114" s="1">
        <v>0</v>
      </c>
      <c r="W114" s="1" t="s">
        <v>879</v>
      </c>
      <c r="X114" s="1">
        <f t="shared" si="10"/>
        <v>-2610323</v>
      </c>
      <c r="Y114" s="1" t="s">
        <v>880</v>
      </c>
      <c r="Z114" s="1">
        <f t="shared" si="11"/>
        <v>-1118710</v>
      </c>
      <c r="AA114" s="1">
        <v>-4137033</v>
      </c>
      <c r="AB114" s="1" t="s">
        <v>881</v>
      </c>
      <c r="AC114" s="1">
        <f t="shared" si="12"/>
        <v>819375</v>
      </c>
      <c r="AD114" s="1" t="s">
        <v>882</v>
      </c>
      <c r="AE114" s="1">
        <f t="shared" si="13"/>
        <v>978739</v>
      </c>
    </row>
    <row r="115" spans="1:31" x14ac:dyDescent="0.35">
      <c r="A115" s="1" t="s">
        <v>891</v>
      </c>
      <c r="B115" s="1" t="s">
        <v>892</v>
      </c>
      <c r="C115" s="1" t="s">
        <v>36</v>
      </c>
      <c r="D115" s="1">
        <v>57</v>
      </c>
      <c r="E115" s="2" t="s">
        <v>28</v>
      </c>
      <c r="F115" s="1">
        <f t="shared" si="7"/>
        <v>0</v>
      </c>
      <c r="G115" s="1">
        <v>3275</v>
      </c>
      <c r="H115" s="1">
        <v>27948000</v>
      </c>
      <c r="I115" s="1">
        <v>20580000</v>
      </c>
      <c r="J115" s="1">
        <v>3410000</v>
      </c>
      <c r="K115" s="1">
        <v>540000</v>
      </c>
      <c r="L115" s="1">
        <v>0</v>
      </c>
      <c r="M115" s="1">
        <v>52214000</v>
      </c>
      <c r="N115" s="1">
        <v>264000</v>
      </c>
      <c r="O115" s="1">
        <v>0</v>
      </c>
      <c r="P115" s="1" t="s">
        <v>28</v>
      </c>
      <c r="Q115" s="1">
        <f t="shared" si="8"/>
        <v>0</v>
      </c>
      <c r="R115" s="1" t="s">
        <v>893</v>
      </c>
      <c r="S115" s="1">
        <f t="shared" si="9"/>
        <v>-150597</v>
      </c>
      <c r="T115" s="1">
        <v>-106732</v>
      </c>
      <c r="U115" s="1">
        <v>-126915</v>
      </c>
      <c r="V115" s="1">
        <v>-21125</v>
      </c>
      <c r="W115" s="1" t="s">
        <v>894</v>
      </c>
      <c r="X115" s="1">
        <f t="shared" si="10"/>
        <v>-1216163</v>
      </c>
      <c r="Y115" s="1" t="s">
        <v>895</v>
      </c>
      <c r="Z115" s="1">
        <f t="shared" si="11"/>
        <v>-808789</v>
      </c>
      <c r="AA115" s="1">
        <v>-2430321</v>
      </c>
      <c r="AB115" s="1" t="s">
        <v>896</v>
      </c>
      <c r="AC115" s="1">
        <f t="shared" si="12"/>
        <v>480130</v>
      </c>
      <c r="AD115" s="1" t="s">
        <v>897</v>
      </c>
      <c r="AE115" s="1">
        <f t="shared" si="13"/>
        <v>22717</v>
      </c>
    </row>
    <row r="116" spans="1:31" x14ac:dyDescent="0.35">
      <c r="A116" s="1" t="s">
        <v>932</v>
      </c>
      <c r="B116" s="1" t="s">
        <v>933</v>
      </c>
      <c r="C116" s="1" t="s">
        <v>36</v>
      </c>
      <c r="D116" s="1">
        <v>21</v>
      </c>
      <c r="E116" s="2" t="s">
        <v>934</v>
      </c>
      <c r="F116" s="1">
        <f t="shared" si="7"/>
        <v>383719</v>
      </c>
      <c r="G116" s="1">
        <v>2654</v>
      </c>
      <c r="H116" s="1">
        <v>25572000</v>
      </c>
      <c r="I116" s="1">
        <v>9427000</v>
      </c>
      <c r="J116" s="1">
        <v>6286000</v>
      </c>
      <c r="K116" s="1">
        <v>0</v>
      </c>
      <c r="L116" s="1">
        <v>6286000</v>
      </c>
      <c r="M116" s="1">
        <v>33235000</v>
      </c>
      <c r="N116" s="1">
        <v>1764000</v>
      </c>
      <c r="O116" s="1">
        <v>0</v>
      </c>
      <c r="P116" s="1" t="s">
        <v>28</v>
      </c>
      <c r="Q116" s="1">
        <f t="shared" si="8"/>
        <v>0</v>
      </c>
      <c r="R116" s="1" t="s">
        <v>56</v>
      </c>
      <c r="S116" s="1">
        <f t="shared" si="9"/>
        <v>0</v>
      </c>
      <c r="T116" s="1">
        <v>0</v>
      </c>
      <c r="U116" s="1">
        <v>0</v>
      </c>
      <c r="V116" s="1">
        <v>0</v>
      </c>
      <c r="W116" s="1" t="s">
        <v>935</v>
      </c>
      <c r="X116" s="1">
        <f t="shared" si="10"/>
        <v>-1015842</v>
      </c>
      <c r="Y116" s="1" t="s">
        <v>936</v>
      </c>
      <c r="Z116" s="1">
        <f t="shared" si="11"/>
        <v>-1280053</v>
      </c>
      <c r="AA116" s="1">
        <v>-2295895</v>
      </c>
      <c r="AB116" s="1" t="s">
        <v>937</v>
      </c>
      <c r="AC116" s="1">
        <f t="shared" si="12"/>
        <v>830621</v>
      </c>
      <c r="AD116" s="1" t="s">
        <v>938</v>
      </c>
      <c r="AE116" s="1">
        <f t="shared" si="13"/>
        <v>1760522</v>
      </c>
    </row>
    <row r="117" spans="1:31" x14ac:dyDescent="0.35">
      <c r="A117" s="1" t="s">
        <v>951</v>
      </c>
      <c r="B117" s="1" t="s">
        <v>952</v>
      </c>
      <c r="C117" s="1" t="s">
        <v>36</v>
      </c>
      <c r="D117" s="1">
        <v>65</v>
      </c>
      <c r="E117" s="2" t="s">
        <v>953</v>
      </c>
      <c r="F117" s="1">
        <f t="shared" si="7"/>
        <v>47650</v>
      </c>
      <c r="G117" s="1">
        <v>6529</v>
      </c>
      <c r="H117" s="1">
        <v>0</v>
      </c>
      <c r="I117" s="1">
        <v>6567570</v>
      </c>
      <c r="J117" s="1">
        <v>381557</v>
      </c>
      <c r="K117" s="1">
        <v>490722</v>
      </c>
      <c r="L117" s="1">
        <v>0</v>
      </c>
      <c r="M117" s="1">
        <v>6348191</v>
      </c>
      <c r="N117" s="1">
        <v>1091658</v>
      </c>
      <c r="O117" s="1">
        <v>3</v>
      </c>
      <c r="P117" s="1" t="s">
        <v>954</v>
      </c>
      <c r="Q117" s="1">
        <f t="shared" si="8"/>
        <v>854000</v>
      </c>
      <c r="R117" s="1" t="s">
        <v>56</v>
      </c>
      <c r="S117" s="1">
        <f t="shared" si="9"/>
        <v>0</v>
      </c>
      <c r="T117" s="1">
        <v>-1957776</v>
      </c>
      <c r="U117" s="1">
        <v>-707236</v>
      </c>
      <c r="V117" s="1">
        <v>0</v>
      </c>
      <c r="W117" s="1" t="s">
        <v>56</v>
      </c>
      <c r="X117" s="1">
        <f t="shared" si="10"/>
        <v>0</v>
      </c>
      <c r="Y117" s="1" t="s">
        <v>56</v>
      </c>
      <c r="Z117" s="1">
        <f t="shared" si="11"/>
        <v>0</v>
      </c>
      <c r="AA117" s="1">
        <v>-2665012</v>
      </c>
      <c r="AB117" s="1" t="s">
        <v>955</v>
      </c>
      <c r="AC117" s="1">
        <f t="shared" si="12"/>
        <v>125029</v>
      </c>
      <c r="AD117" s="1" t="s">
        <v>956</v>
      </c>
      <c r="AE117" s="1">
        <f t="shared" si="13"/>
        <v>110658</v>
      </c>
    </row>
    <row r="118" spans="1:31" x14ac:dyDescent="0.35">
      <c r="A118" s="1" t="s">
        <v>982</v>
      </c>
      <c r="B118" s="1" t="s">
        <v>983</v>
      </c>
      <c r="C118" s="1" t="s">
        <v>36</v>
      </c>
      <c r="D118" s="1">
        <v>33</v>
      </c>
      <c r="E118" s="2" t="s">
        <v>56</v>
      </c>
      <c r="F118" s="1">
        <f t="shared" si="7"/>
        <v>0</v>
      </c>
      <c r="G118" s="1">
        <v>2245</v>
      </c>
      <c r="H118" s="1">
        <v>14525173</v>
      </c>
      <c r="I118" s="1">
        <v>7676230</v>
      </c>
      <c r="J118" s="1">
        <v>7497105</v>
      </c>
      <c r="K118" s="1">
        <v>4641586</v>
      </c>
      <c r="L118" s="1">
        <v>0</v>
      </c>
      <c r="M118" s="1">
        <v>30432334</v>
      </c>
      <c r="N118" s="1">
        <v>3907760</v>
      </c>
      <c r="O118" s="1">
        <v>6</v>
      </c>
      <c r="P118" s="1" t="s">
        <v>984</v>
      </c>
      <c r="Q118" s="1">
        <f t="shared" si="8"/>
        <v>951015</v>
      </c>
      <c r="R118" s="1" t="s">
        <v>985</v>
      </c>
      <c r="S118" s="1">
        <f t="shared" si="9"/>
        <v>67281</v>
      </c>
      <c r="T118" s="1">
        <v>46827</v>
      </c>
      <c r="U118" s="1">
        <v>-151263</v>
      </c>
      <c r="V118" s="1">
        <v>-17724</v>
      </c>
      <c r="W118" s="1" t="s">
        <v>986</v>
      </c>
      <c r="X118" s="1">
        <f t="shared" si="10"/>
        <v>-1008237</v>
      </c>
      <c r="Y118" s="1" t="s">
        <v>987</v>
      </c>
      <c r="Z118" s="1">
        <f t="shared" si="11"/>
        <v>-851973</v>
      </c>
      <c r="AA118" s="1">
        <v>-1915089</v>
      </c>
      <c r="AB118" s="1" t="s">
        <v>988</v>
      </c>
      <c r="AC118" s="1">
        <f t="shared" si="12"/>
        <v>379563</v>
      </c>
      <c r="AD118" s="1" t="s">
        <v>989</v>
      </c>
      <c r="AE118" s="1">
        <f t="shared" si="13"/>
        <v>149507</v>
      </c>
    </row>
    <row r="119" spans="1:31" x14ac:dyDescent="0.35">
      <c r="A119" s="1" t="s">
        <v>1003</v>
      </c>
      <c r="B119" s="1" t="s">
        <v>1004</v>
      </c>
      <c r="C119" s="1" t="s">
        <v>36</v>
      </c>
      <c r="D119" s="1">
        <v>97</v>
      </c>
      <c r="E119" s="2" t="s">
        <v>28</v>
      </c>
      <c r="F119" s="1">
        <f t="shared" si="7"/>
        <v>0</v>
      </c>
      <c r="G119" s="1">
        <v>32128</v>
      </c>
      <c r="H119" s="1">
        <v>29495000</v>
      </c>
      <c r="I119" s="1">
        <v>10251000</v>
      </c>
      <c r="J119" s="1">
        <v>2717000</v>
      </c>
      <c r="K119" s="1">
        <v>0</v>
      </c>
      <c r="L119" s="1">
        <v>0</v>
      </c>
      <c r="M119" s="1">
        <v>42212000</v>
      </c>
      <c r="N119" s="1">
        <v>251000</v>
      </c>
      <c r="O119" s="1">
        <v>5</v>
      </c>
      <c r="P119" s="1" t="s">
        <v>1005</v>
      </c>
      <c r="Q119" s="1">
        <f t="shared" si="8"/>
        <v>446454</v>
      </c>
      <c r="R119" s="1" t="s">
        <v>1006</v>
      </c>
      <c r="S119" s="1">
        <f t="shared" si="9"/>
        <v>-238323</v>
      </c>
      <c r="T119" s="1">
        <v>87794</v>
      </c>
      <c r="U119" s="1">
        <v>247366</v>
      </c>
      <c r="V119" s="1">
        <v>0</v>
      </c>
      <c r="W119" s="1" t="s">
        <v>1007</v>
      </c>
      <c r="X119" s="1">
        <f t="shared" si="10"/>
        <v>-1519749</v>
      </c>
      <c r="Y119" s="1" t="s">
        <v>1008</v>
      </c>
      <c r="Z119" s="1">
        <f t="shared" si="11"/>
        <v>-516223</v>
      </c>
      <c r="AA119" s="1">
        <v>-1939135</v>
      </c>
      <c r="AB119" s="1" t="s">
        <v>1009</v>
      </c>
      <c r="AC119" s="1">
        <f t="shared" si="12"/>
        <v>1751670</v>
      </c>
      <c r="AD119" s="1" t="s">
        <v>1010</v>
      </c>
      <c r="AE119" s="1">
        <f t="shared" si="13"/>
        <v>141463</v>
      </c>
    </row>
    <row r="120" spans="1:31" x14ac:dyDescent="0.35">
      <c r="A120" s="1" t="s">
        <v>1085</v>
      </c>
      <c r="B120" s="1" t="s">
        <v>1086</v>
      </c>
      <c r="C120" s="1" t="s">
        <v>36</v>
      </c>
      <c r="D120" s="1">
        <v>107</v>
      </c>
      <c r="E120" s="2" t="s">
        <v>1087</v>
      </c>
      <c r="F120" s="1">
        <f t="shared" si="7"/>
        <v>13520</v>
      </c>
      <c r="G120" s="1">
        <v>4490</v>
      </c>
      <c r="H120" s="1">
        <v>22535130</v>
      </c>
      <c r="I120" s="1">
        <v>4267893</v>
      </c>
      <c r="J120" s="1">
        <v>0</v>
      </c>
      <c r="K120" s="1">
        <v>502970</v>
      </c>
      <c r="L120" s="1">
        <v>0</v>
      </c>
      <c r="M120" s="1">
        <v>27305993</v>
      </c>
      <c r="N120" s="1">
        <v>0</v>
      </c>
      <c r="O120" s="1">
        <v>2</v>
      </c>
      <c r="P120" s="1" t="s">
        <v>1088</v>
      </c>
      <c r="Q120" s="1">
        <f t="shared" si="8"/>
        <v>89375</v>
      </c>
      <c r="R120" s="1" t="s">
        <v>1089</v>
      </c>
      <c r="S120" s="1">
        <f t="shared" si="9"/>
        <v>-5242</v>
      </c>
      <c r="T120" s="1">
        <v>-32676</v>
      </c>
      <c r="U120" s="1">
        <v>-233876</v>
      </c>
      <c r="V120" s="1">
        <v>0</v>
      </c>
      <c r="W120" s="1" t="s">
        <v>1090</v>
      </c>
      <c r="X120" s="1">
        <f t="shared" si="10"/>
        <v>-1052991</v>
      </c>
      <c r="Y120" s="1" t="s">
        <v>1091</v>
      </c>
      <c r="Z120" s="1">
        <f t="shared" si="11"/>
        <v>-668403</v>
      </c>
      <c r="AA120" s="1">
        <v>-1993188</v>
      </c>
      <c r="AB120" s="1" t="s">
        <v>1092</v>
      </c>
      <c r="AC120" s="1">
        <f t="shared" si="12"/>
        <v>394539</v>
      </c>
      <c r="AD120" s="1" t="s">
        <v>1093</v>
      </c>
      <c r="AE120" s="1">
        <f t="shared" si="13"/>
        <v>14645</v>
      </c>
    </row>
    <row r="121" spans="1:31" x14ac:dyDescent="0.35">
      <c r="A121" s="1" t="s">
        <v>1105</v>
      </c>
      <c r="B121" s="1" t="s">
        <v>1106</v>
      </c>
      <c r="C121" s="1" t="s">
        <v>36</v>
      </c>
      <c r="D121" s="1">
        <v>65</v>
      </c>
      <c r="E121" s="2" t="s">
        <v>28</v>
      </c>
      <c r="F121" s="1">
        <f t="shared" si="7"/>
        <v>0</v>
      </c>
      <c r="G121" s="1">
        <v>0</v>
      </c>
      <c r="H121" s="1">
        <v>924782</v>
      </c>
      <c r="I121" s="1">
        <v>5526637</v>
      </c>
      <c r="J121" s="1">
        <v>4920466</v>
      </c>
      <c r="K121" s="1">
        <v>513911</v>
      </c>
      <c r="L121" s="1">
        <v>0</v>
      </c>
      <c r="M121" s="1">
        <v>11885796</v>
      </c>
      <c r="N121" s="1">
        <v>0</v>
      </c>
      <c r="O121" s="1">
        <v>0</v>
      </c>
      <c r="P121" s="1" t="s">
        <v>28</v>
      </c>
      <c r="Q121" s="1">
        <f t="shared" si="8"/>
        <v>0</v>
      </c>
      <c r="R121" s="1" t="s">
        <v>1107</v>
      </c>
      <c r="S121" s="1">
        <f t="shared" si="9"/>
        <v>178624</v>
      </c>
      <c r="T121" s="1">
        <v>0</v>
      </c>
      <c r="U121" s="1">
        <v>0</v>
      </c>
      <c r="V121" s="1">
        <v>0</v>
      </c>
      <c r="W121" s="1" t="s">
        <v>56</v>
      </c>
      <c r="X121" s="1">
        <f t="shared" si="10"/>
        <v>0</v>
      </c>
      <c r="Y121" s="1" t="s">
        <v>56</v>
      </c>
      <c r="Z121" s="1">
        <f t="shared" si="11"/>
        <v>0</v>
      </c>
      <c r="AA121" s="1">
        <v>178624</v>
      </c>
      <c r="AB121" s="1" t="s">
        <v>1108</v>
      </c>
      <c r="AC121" s="1">
        <f t="shared" si="12"/>
        <v>180931</v>
      </c>
      <c r="AD121" s="1" t="s">
        <v>1109</v>
      </c>
      <c r="AE121" s="1">
        <f t="shared" si="13"/>
        <v>233487</v>
      </c>
    </row>
    <row r="122" spans="1:31" x14ac:dyDescent="0.35">
      <c r="A122" s="1" t="s">
        <v>1110</v>
      </c>
      <c r="B122" s="1" t="s">
        <v>1111</v>
      </c>
      <c r="C122" s="1" t="s">
        <v>36</v>
      </c>
      <c r="D122" s="1">
        <v>104</v>
      </c>
      <c r="E122" s="2" t="s">
        <v>1112</v>
      </c>
      <c r="F122" s="1">
        <f t="shared" si="7"/>
        <v>53549</v>
      </c>
      <c r="G122" s="1">
        <v>32897</v>
      </c>
      <c r="H122" s="1">
        <v>238965</v>
      </c>
      <c r="I122" s="1">
        <v>8501570</v>
      </c>
      <c r="J122" s="1">
        <v>686082</v>
      </c>
      <c r="K122" s="1">
        <v>763726</v>
      </c>
      <c r="L122" s="1">
        <v>0</v>
      </c>
      <c r="M122" s="1">
        <v>10190343</v>
      </c>
      <c r="N122" s="1">
        <v>0</v>
      </c>
      <c r="O122" s="1">
        <v>7</v>
      </c>
      <c r="P122" s="1" t="s">
        <v>1113</v>
      </c>
      <c r="Q122" s="1">
        <f t="shared" si="8"/>
        <v>572530</v>
      </c>
      <c r="R122" s="1" t="s">
        <v>56</v>
      </c>
      <c r="S122" s="1">
        <f t="shared" si="9"/>
        <v>0</v>
      </c>
      <c r="T122" s="1">
        <v>705513</v>
      </c>
      <c r="U122" s="1">
        <v>0</v>
      </c>
      <c r="V122" s="1">
        <v>0</v>
      </c>
      <c r="W122" s="1" t="s">
        <v>1114</v>
      </c>
      <c r="X122" s="1">
        <f t="shared" si="10"/>
        <v>-126492</v>
      </c>
      <c r="Y122" s="1" t="s">
        <v>56</v>
      </c>
      <c r="Z122" s="1">
        <f t="shared" si="11"/>
        <v>0</v>
      </c>
      <c r="AA122" s="1">
        <v>579021</v>
      </c>
      <c r="AB122" s="1" t="s">
        <v>1115</v>
      </c>
      <c r="AC122" s="1">
        <f t="shared" si="12"/>
        <v>67024</v>
      </c>
      <c r="AD122" s="1" t="s">
        <v>1116</v>
      </c>
      <c r="AE122" s="1">
        <f t="shared" si="13"/>
        <v>118939</v>
      </c>
    </row>
    <row r="123" spans="1:31" x14ac:dyDescent="0.35">
      <c r="A123" s="1" t="s">
        <v>1117</v>
      </c>
      <c r="B123" s="1" t="s">
        <v>1118</v>
      </c>
      <c r="C123" s="1" t="s">
        <v>36</v>
      </c>
      <c r="D123" s="1">
        <v>57</v>
      </c>
      <c r="E123" s="2" t="s">
        <v>28</v>
      </c>
      <c r="F123" s="1">
        <f t="shared" si="7"/>
        <v>0</v>
      </c>
      <c r="G123" s="1">
        <v>1697</v>
      </c>
      <c r="H123" s="1">
        <v>1081000</v>
      </c>
      <c r="I123" s="1">
        <v>592000</v>
      </c>
      <c r="J123" s="1">
        <v>98000</v>
      </c>
      <c r="K123" s="1">
        <v>0</v>
      </c>
      <c r="L123" s="1">
        <v>0</v>
      </c>
      <c r="M123" s="1">
        <v>1771000</v>
      </c>
      <c r="N123" s="1">
        <v>0</v>
      </c>
      <c r="O123" s="1">
        <v>2</v>
      </c>
      <c r="P123" s="1" t="s">
        <v>1119</v>
      </c>
      <c r="Q123" s="1">
        <f t="shared" si="8"/>
        <v>81065</v>
      </c>
      <c r="R123" s="1" t="s">
        <v>28</v>
      </c>
      <c r="S123" s="1">
        <f t="shared" si="9"/>
        <v>0</v>
      </c>
      <c r="T123" s="1">
        <v>123887</v>
      </c>
      <c r="U123" s="1">
        <v>1497</v>
      </c>
      <c r="V123" s="1">
        <v>0</v>
      </c>
      <c r="W123" s="1" t="s">
        <v>28</v>
      </c>
      <c r="X123" s="1">
        <f t="shared" si="10"/>
        <v>0</v>
      </c>
      <c r="Y123" s="1" t="s">
        <v>28</v>
      </c>
      <c r="Z123" s="1">
        <f t="shared" si="11"/>
        <v>0</v>
      </c>
      <c r="AA123" s="1">
        <v>125384</v>
      </c>
      <c r="AB123" s="1" t="s">
        <v>28</v>
      </c>
      <c r="AC123" s="1">
        <f t="shared" si="12"/>
        <v>0</v>
      </c>
      <c r="AD123" s="1" t="s">
        <v>28</v>
      </c>
      <c r="AE123" s="1">
        <f t="shared" si="13"/>
        <v>0</v>
      </c>
    </row>
    <row r="124" spans="1:31" x14ac:dyDescent="0.35">
      <c r="A124" s="1" t="s">
        <v>1122</v>
      </c>
      <c r="B124" s="1" t="s">
        <v>1123</v>
      </c>
      <c r="C124" s="1" t="s">
        <v>36</v>
      </c>
      <c r="D124" s="1">
        <v>103</v>
      </c>
      <c r="E124" s="2" t="s">
        <v>56</v>
      </c>
      <c r="F124" s="1">
        <f t="shared" si="7"/>
        <v>0</v>
      </c>
      <c r="G124" s="1">
        <v>1849</v>
      </c>
      <c r="H124" s="1">
        <v>0</v>
      </c>
      <c r="I124" s="1">
        <v>1540000</v>
      </c>
      <c r="J124" s="1">
        <v>1808000</v>
      </c>
      <c r="K124" s="1">
        <v>568000</v>
      </c>
      <c r="L124" s="1">
        <v>0</v>
      </c>
      <c r="M124" s="1">
        <v>3916000</v>
      </c>
      <c r="N124" s="1">
        <v>0</v>
      </c>
      <c r="O124" s="1">
        <v>1</v>
      </c>
      <c r="P124" s="1" t="s">
        <v>1124</v>
      </c>
      <c r="Q124" s="1">
        <f t="shared" si="8"/>
        <v>500000</v>
      </c>
      <c r="R124" s="1" t="s">
        <v>28</v>
      </c>
      <c r="S124" s="1">
        <f t="shared" si="9"/>
        <v>0</v>
      </c>
      <c r="T124" s="1">
        <v>0</v>
      </c>
      <c r="U124" s="1">
        <v>0</v>
      </c>
      <c r="V124" s="1">
        <v>0</v>
      </c>
      <c r="W124" s="1" t="s">
        <v>28</v>
      </c>
      <c r="X124" s="1">
        <f t="shared" si="10"/>
        <v>0</v>
      </c>
      <c r="Y124" s="1" t="s">
        <v>28</v>
      </c>
      <c r="Z124" s="1">
        <f t="shared" si="11"/>
        <v>0</v>
      </c>
      <c r="AA124" s="1">
        <v>0</v>
      </c>
      <c r="AB124" s="1" t="s">
        <v>28</v>
      </c>
      <c r="AC124" s="1">
        <f t="shared" si="12"/>
        <v>0</v>
      </c>
      <c r="AD124" s="1" t="s">
        <v>28</v>
      </c>
      <c r="AE124" s="1">
        <f t="shared" si="13"/>
        <v>0</v>
      </c>
    </row>
    <row r="125" spans="1:31" x14ac:dyDescent="0.35">
      <c r="A125" s="1" t="s">
        <v>1140</v>
      </c>
      <c r="B125" s="1" t="s">
        <v>1141</v>
      </c>
      <c r="C125" s="1" t="s">
        <v>36</v>
      </c>
      <c r="D125" s="1">
        <v>42</v>
      </c>
      <c r="E125" s="2" t="s">
        <v>28</v>
      </c>
      <c r="F125" s="1">
        <f t="shared" si="7"/>
        <v>0</v>
      </c>
      <c r="G125" s="1">
        <v>0</v>
      </c>
      <c r="H125" s="1">
        <v>0</v>
      </c>
      <c r="I125" s="1">
        <v>5421262</v>
      </c>
      <c r="J125" s="1">
        <v>310061</v>
      </c>
      <c r="K125" s="1">
        <v>233341</v>
      </c>
      <c r="L125" s="1">
        <v>0</v>
      </c>
      <c r="M125" s="1">
        <v>5964664</v>
      </c>
      <c r="N125" s="1">
        <v>0</v>
      </c>
      <c r="O125" s="1">
        <v>1</v>
      </c>
      <c r="P125" s="1" t="s">
        <v>1142</v>
      </c>
      <c r="Q125" s="1">
        <f t="shared" si="8"/>
        <v>111271</v>
      </c>
      <c r="R125" s="1" t="s">
        <v>1143</v>
      </c>
      <c r="S125" s="1">
        <f t="shared" si="9"/>
        <v>-191517</v>
      </c>
      <c r="T125" s="1">
        <v>-520081</v>
      </c>
      <c r="U125" s="1">
        <v>-564318</v>
      </c>
      <c r="V125" s="1">
        <v>0</v>
      </c>
      <c r="W125" s="1" t="s">
        <v>56</v>
      </c>
      <c r="X125" s="1">
        <f t="shared" si="10"/>
        <v>0</v>
      </c>
      <c r="Y125" s="1" t="s">
        <v>56</v>
      </c>
      <c r="Z125" s="1">
        <f t="shared" si="11"/>
        <v>0</v>
      </c>
      <c r="AA125" s="1">
        <v>-1275916</v>
      </c>
      <c r="AB125" s="1" t="s">
        <v>56</v>
      </c>
      <c r="AC125" s="1">
        <f t="shared" si="12"/>
        <v>0</v>
      </c>
      <c r="AD125" s="1" t="s">
        <v>1144</v>
      </c>
      <c r="AE125" s="1">
        <f t="shared" si="13"/>
        <v>59261</v>
      </c>
    </row>
    <row r="126" spans="1:31" x14ac:dyDescent="0.35">
      <c r="A126" s="1" t="s">
        <v>1145</v>
      </c>
      <c r="B126" s="1" t="s">
        <v>1146</v>
      </c>
      <c r="C126" s="1" t="s">
        <v>36</v>
      </c>
      <c r="D126" s="1">
        <v>49</v>
      </c>
      <c r="E126" s="2" t="s">
        <v>28</v>
      </c>
      <c r="F126" s="1">
        <f t="shared" si="7"/>
        <v>0</v>
      </c>
      <c r="G126" s="1">
        <v>23980</v>
      </c>
      <c r="H126" s="1">
        <v>7594567</v>
      </c>
      <c r="I126" s="1">
        <v>19190506</v>
      </c>
      <c r="J126" s="1">
        <v>1749618</v>
      </c>
      <c r="K126" s="1">
        <v>99698</v>
      </c>
      <c r="L126" s="1">
        <v>0</v>
      </c>
      <c r="M126" s="1">
        <v>28476108</v>
      </c>
      <c r="N126" s="1">
        <v>158281</v>
      </c>
      <c r="O126" s="1">
        <v>1</v>
      </c>
      <c r="P126" s="1" t="s">
        <v>1147</v>
      </c>
      <c r="Q126" s="1">
        <f t="shared" si="8"/>
        <v>68981</v>
      </c>
      <c r="R126" s="1" t="s">
        <v>1148</v>
      </c>
      <c r="S126" s="1">
        <f t="shared" si="9"/>
        <v>-8748</v>
      </c>
      <c r="T126" s="1">
        <v>-109805</v>
      </c>
      <c r="U126" s="1">
        <v>-65227</v>
      </c>
      <c r="V126" s="1">
        <v>-25089</v>
      </c>
      <c r="W126" s="1" t="s">
        <v>1149</v>
      </c>
      <c r="X126" s="1">
        <f t="shared" si="10"/>
        <v>-2156291</v>
      </c>
      <c r="Y126" s="1" t="s">
        <v>1150</v>
      </c>
      <c r="Z126" s="1">
        <f t="shared" si="11"/>
        <v>-1347465</v>
      </c>
      <c r="AA126" s="1">
        <v>-3712625</v>
      </c>
      <c r="AB126" s="1" t="s">
        <v>1151</v>
      </c>
      <c r="AC126" s="1">
        <f t="shared" si="12"/>
        <v>143527</v>
      </c>
      <c r="AD126" s="1" t="s">
        <v>1152</v>
      </c>
      <c r="AE126" s="1">
        <f t="shared" si="13"/>
        <v>79414</v>
      </c>
    </row>
    <row r="127" spans="1:31" x14ac:dyDescent="0.35">
      <c r="A127" s="1" t="s">
        <v>1153</v>
      </c>
      <c r="B127" s="1" t="s">
        <v>1154</v>
      </c>
      <c r="C127" s="1" t="s">
        <v>36</v>
      </c>
      <c r="D127" s="1">
        <v>56</v>
      </c>
      <c r="E127" s="2" t="s">
        <v>28</v>
      </c>
      <c r="F127" s="1">
        <f t="shared" si="7"/>
        <v>0</v>
      </c>
      <c r="G127" s="1">
        <v>5500</v>
      </c>
      <c r="H127" s="1">
        <v>0</v>
      </c>
      <c r="I127" s="1">
        <v>1662160</v>
      </c>
      <c r="J127" s="1">
        <v>2969980</v>
      </c>
      <c r="K127" s="1">
        <v>14066</v>
      </c>
      <c r="L127" s="1">
        <v>0</v>
      </c>
      <c r="M127" s="1">
        <v>4646206</v>
      </c>
      <c r="N127" s="1">
        <v>0</v>
      </c>
      <c r="O127" s="1">
        <v>0</v>
      </c>
      <c r="P127" s="1" t="s">
        <v>28</v>
      </c>
      <c r="Q127" s="1">
        <f t="shared" si="8"/>
        <v>0</v>
      </c>
      <c r="R127" s="1" t="s">
        <v>56</v>
      </c>
      <c r="S127" s="1">
        <f t="shared" si="9"/>
        <v>0</v>
      </c>
      <c r="T127" s="1">
        <v>-311332</v>
      </c>
      <c r="U127" s="1">
        <v>-84019</v>
      </c>
      <c r="V127" s="1">
        <v>-43261</v>
      </c>
      <c r="W127" s="1" t="s">
        <v>56</v>
      </c>
      <c r="X127" s="1">
        <f t="shared" si="10"/>
        <v>0</v>
      </c>
      <c r="Y127" s="1" t="s">
        <v>56</v>
      </c>
      <c r="Z127" s="1">
        <f t="shared" si="11"/>
        <v>0</v>
      </c>
      <c r="AA127" s="1">
        <v>-438612</v>
      </c>
      <c r="AB127" s="1" t="s">
        <v>1155</v>
      </c>
      <c r="AC127" s="1">
        <f t="shared" si="12"/>
        <v>90770</v>
      </c>
      <c r="AD127" s="1" t="s">
        <v>1156</v>
      </c>
      <c r="AE127" s="1">
        <f t="shared" si="13"/>
        <v>88315</v>
      </c>
    </row>
    <row r="128" spans="1:31" x14ac:dyDescent="0.35">
      <c r="A128" s="1" t="s">
        <v>1184</v>
      </c>
      <c r="B128" s="1" t="s">
        <v>1185</v>
      </c>
      <c r="C128" s="1" t="s">
        <v>36</v>
      </c>
      <c r="D128" s="1">
        <v>69</v>
      </c>
      <c r="E128" s="2" t="s">
        <v>1186</v>
      </c>
      <c r="F128" s="1">
        <f t="shared" si="7"/>
        <v>17570</v>
      </c>
      <c r="G128" s="1">
        <v>6851</v>
      </c>
      <c r="H128" s="1">
        <v>2643267</v>
      </c>
      <c r="I128" s="1">
        <v>5758992</v>
      </c>
      <c r="J128" s="1">
        <v>5614149</v>
      </c>
      <c r="K128" s="1">
        <v>2645944</v>
      </c>
      <c r="L128" s="1">
        <v>5614149</v>
      </c>
      <c r="M128" s="1">
        <v>11048203</v>
      </c>
      <c r="N128" s="1">
        <v>0</v>
      </c>
      <c r="O128" s="1">
        <v>0</v>
      </c>
      <c r="P128" s="1" t="s">
        <v>28</v>
      </c>
      <c r="Q128" s="1">
        <f t="shared" si="8"/>
        <v>0</v>
      </c>
      <c r="R128" s="1" t="s">
        <v>1187</v>
      </c>
      <c r="S128" s="1">
        <f t="shared" si="9"/>
        <v>-183552</v>
      </c>
      <c r="T128" s="1">
        <v>-2988</v>
      </c>
      <c r="U128" s="1">
        <v>0</v>
      </c>
      <c r="V128" s="1">
        <v>0</v>
      </c>
      <c r="W128" s="1" t="s">
        <v>1188</v>
      </c>
      <c r="X128" s="1">
        <f t="shared" si="10"/>
        <v>-305552</v>
      </c>
      <c r="Y128" s="1" t="s">
        <v>1189</v>
      </c>
      <c r="Z128" s="1">
        <f t="shared" si="11"/>
        <v>-94711</v>
      </c>
      <c r="AA128" s="1">
        <v>-586803</v>
      </c>
      <c r="AB128" s="1" t="s">
        <v>56</v>
      </c>
      <c r="AC128" s="1">
        <f t="shared" si="12"/>
        <v>0</v>
      </c>
      <c r="AD128" s="1" t="s">
        <v>1190</v>
      </c>
      <c r="AE128" s="1">
        <f t="shared" si="13"/>
        <v>489843</v>
      </c>
    </row>
    <row r="129" spans="1:31" x14ac:dyDescent="0.35">
      <c r="A129" s="1" t="s">
        <v>1244</v>
      </c>
      <c r="B129" s="1" t="s">
        <v>1245</v>
      </c>
      <c r="C129" s="1" t="s">
        <v>36</v>
      </c>
      <c r="D129" s="1">
        <v>34</v>
      </c>
      <c r="E129" s="2" t="s">
        <v>28</v>
      </c>
      <c r="F129" s="1">
        <f t="shared" si="7"/>
        <v>0</v>
      </c>
      <c r="G129" s="1">
        <v>0</v>
      </c>
      <c r="H129" s="1">
        <v>0</v>
      </c>
      <c r="I129" s="1">
        <v>1335716</v>
      </c>
      <c r="J129" s="1">
        <v>264850</v>
      </c>
      <c r="K129" s="1">
        <v>198470</v>
      </c>
      <c r="L129" s="1">
        <v>0</v>
      </c>
      <c r="M129" s="1">
        <v>1799036</v>
      </c>
      <c r="N129" s="1">
        <v>0</v>
      </c>
      <c r="O129" s="1">
        <v>0</v>
      </c>
      <c r="P129" s="1" t="s">
        <v>28</v>
      </c>
      <c r="Q129" s="1">
        <f t="shared" si="8"/>
        <v>0</v>
      </c>
      <c r="R129" s="1" t="s">
        <v>1246</v>
      </c>
      <c r="S129" s="1">
        <f t="shared" si="9"/>
        <v>26752</v>
      </c>
      <c r="T129" s="1">
        <v>828291</v>
      </c>
      <c r="U129" s="1">
        <v>133425</v>
      </c>
      <c r="V129" s="1">
        <v>0</v>
      </c>
      <c r="W129" s="1" t="s">
        <v>56</v>
      </c>
      <c r="X129" s="1">
        <f t="shared" si="10"/>
        <v>0</v>
      </c>
      <c r="Y129" s="1" t="s">
        <v>56</v>
      </c>
      <c r="Z129" s="1">
        <f t="shared" si="11"/>
        <v>0</v>
      </c>
      <c r="AA129" s="1">
        <v>988468</v>
      </c>
      <c r="AB129" s="1" t="s">
        <v>1247</v>
      </c>
      <c r="AC129" s="1">
        <f t="shared" si="12"/>
        <v>101542</v>
      </c>
      <c r="AD129" s="1" t="s">
        <v>56</v>
      </c>
      <c r="AE129" s="1">
        <f t="shared" si="13"/>
        <v>0</v>
      </c>
    </row>
    <row r="130" spans="1:31" x14ac:dyDescent="0.35">
      <c r="A130" s="1" t="s">
        <v>1311</v>
      </c>
      <c r="B130" s="1" t="s">
        <v>1312</v>
      </c>
      <c r="C130" s="1" t="s">
        <v>36</v>
      </c>
      <c r="D130" s="1">
        <v>59</v>
      </c>
      <c r="E130" s="2" t="s">
        <v>1313</v>
      </c>
      <c r="F130" s="1">
        <f t="shared" ref="F130:F193" si="14">IF(ISNUMBER(VALUE(SUBSTITUTE(SUBSTITUTE(E130,",",""),"£",""))), VALUE(SUBSTITUTE(SUBSTITUTE(E130,",",""),"£","")), 0)</f>
        <v>117000</v>
      </c>
      <c r="G130" s="1">
        <v>864</v>
      </c>
      <c r="H130" s="1">
        <v>2322774</v>
      </c>
      <c r="I130" s="1">
        <v>1823451</v>
      </c>
      <c r="J130" s="1">
        <v>521324</v>
      </c>
      <c r="K130" s="1">
        <v>129051</v>
      </c>
      <c r="L130" s="1">
        <v>0</v>
      </c>
      <c r="M130" s="1">
        <v>4796600</v>
      </c>
      <c r="N130" s="1">
        <v>0</v>
      </c>
      <c r="O130" s="1">
        <v>0</v>
      </c>
      <c r="P130" s="1" t="s">
        <v>28</v>
      </c>
      <c r="Q130" s="1">
        <f t="shared" ref="Q130:Q193" si="15">IF(ISNUMBER(VALUE(SUBSTITUTE(SUBSTITUTE(P130,",",""),"£",""))), VALUE(SUBSTITUTE(SUBSTITUTE(P130,",",""),"£","")), 0)</f>
        <v>0</v>
      </c>
      <c r="R130" s="1" t="s">
        <v>56</v>
      </c>
      <c r="S130" s="1">
        <f t="shared" ref="S130:S193" si="16">IF(ISNUMBER(VALUE(SUBSTITUTE(SUBSTITUTE(R130,",",""),"£",""))), VALUE(SUBSTITUTE(SUBSTITUTE(R130,",",""),"£","")), 0)</f>
        <v>0</v>
      </c>
      <c r="T130" s="1">
        <v>0</v>
      </c>
      <c r="U130" s="1">
        <v>0</v>
      </c>
      <c r="V130" s="1">
        <v>0</v>
      </c>
      <c r="W130" s="1" t="s">
        <v>56</v>
      </c>
      <c r="X130" s="1">
        <f t="shared" ref="X130:X193" si="17">IF(ISNUMBER(VALUE(SUBSTITUTE(SUBSTITUTE(W130,",",""),"£",""))), VALUE(SUBSTITUTE(SUBSTITUTE(W130,",",""),"£","")), 0)</f>
        <v>0</v>
      </c>
      <c r="Y130" s="1" t="s">
        <v>56</v>
      </c>
      <c r="Z130" s="1">
        <f t="shared" ref="Z130:Z193" si="18">IF(ISNUMBER(VALUE(SUBSTITUTE(SUBSTITUTE(Y130,",",""),"£",""))), VALUE(SUBSTITUTE(SUBSTITUTE(Y130,",",""),"£","")), 0)</f>
        <v>0</v>
      </c>
      <c r="AA130" s="1">
        <v>0</v>
      </c>
      <c r="AB130" s="1" t="s">
        <v>1314</v>
      </c>
      <c r="AC130" s="1">
        <f t="shared" ref="AC130:AC193" si="19">IF(ISNUMBER(VALUE(SUBSTITUTE(SUBSTITUTE(AB130,",",""),"£",""))), VALUE(SUBSTITUTE(SUBSTITUTE(AB130,",",""),"£","")), 0)</f>
        <v>81427</v>
      </c>
      <c r="AD130" s="1" t="s">
        <v>1315</v>
      </c>
      <c r="AE130" s="1">
        <f t="shared" ref="AE130:AE193" si="20">IF(ISNUMBER(VALUE(SUBSTITUTE(SUBSTITUTE(AD130,",",""),"£",""))), VALUE(SUBSTITUTE(SUBSTITUTE(AD130,",",""),"£","")), 0)</f>
        <v>74209</v>
      </c>
    </row>
    <row r="131" spans="1:31" x14ac:dyDescent="0.35">
      <c r="A131" s="1" t="s">
        <v>1320</v>
      </c>
      <c r="B131" s="1" t="s">
        <v>1321</v>
      </c>
      <c r="C131" s="1" t="s">
        <v>36</v>
      </c>
      <c r="D131" s="1">
        <v>24</v>
      </c>
      <c r="E131" s="2" t="s">
        <v>1322</v>
      </c>
      <c r="F131" s="1">
        <f t="shared" si="14"/>
        <v>5934</v>
      </c>
      <c r="G131" s="1">
        <v>6715</v>
      </c>
      <c r="H131" s="1">
        <v>0</v>
      </c>
      <c r="I131" s="1">
        <v>5839000</v>
      </c>
      <c r="J131" s="1">
        <v>1147000</v>
      </c>
      <c r="K131" s="1">
        <v>170000</v>
      </c>
      <c r="L131" s="1">
        <v>0</v>
      </c>
      <c r="M131" s="1">
        <v>7156000</v>
      </c>
      <c r="N131" s="1">
        <v>0</v>
      </c>
      <c r="O131" s="1">
        <v>0</v>
      </c>
      <c r="P131" s="1" t="s">
        <v>28</v>
      </c>
      <c r="Q131" s="1">
        <f t="shared" si="15"/>
        <v>0</v>
      </c>
      <c r="R131" s="1" t="s">
        <v>56</v>
      </c>
      <c r="S131" s="1">
        <f t="shared" si="16"/>
        <v>0</v>
      </c>
      <c r="T131" s="1">
        <v>0</v>
      </c>
      <c r="U131" s="1">
        <v>0</v>
      </c>
      <c r="V131" s="1">
        <v>0</v>
      </c>
      <c r="W131" s="1" t="s">
        <v>56</v>
      </c>
      <c r="X131" s="1">
        <f t="shared" si="17"/>
        <v>0</v>
      </c>
      <c r="Y131" s="1" t="s">
        <v>56</v>
      </c>
      <c r="Z131" s="1">
        <f t="shared" si="18"/>
        <v>0</v>
      </c>
      <c r="AA131" s="1">
        <v>0</v>
      </c>
      <c r="AB131" s="1" t="s">
        <v>56</v>
      </c>
      <c r="AC131" s="1">
        <f t="shared" si="19"/>
        <v>0</v>
      </c>
      <c r="AD131" s="1" t="s">
        <v>56</v>
      </c>
      <c r="AE131" s="1">
        <f t="shared" si="20"/>
        <v>0</v>
      </c>
    </row>
    <row r="132" spans="1:31" x14ac:dyDescent="0.35">
      <c r="A132" s="1" t="s">
        <v>24</v>
      </c>
      <c r="B132" s="1" t="s">
        <v>25</v>
      </c>
      <c r="C132" s="1" t="s">
        <v>26</v>
      </c>
      <c r="D132" s="1">
        <v>105</v>
      </c>
      <c r="E132" s="2" t="s">
        <v>27</v>
      </c>
      <c r="F132" s="1">
        <f t="shared" si="14"/>
        <v>4141</v>
      </c>
      <c r="G132" s="1">
        <v>44501</v>
      </c>
      <c r="H132" s="1">
        <v>31964018</v>
      </c>
      <c r="I132" s="1">
        <v>14731044</v>
      </c>
      <c r="J132" s="1">
        <v>6605112</v>
      </c>
      <c r="K132" s="1">
        <v>0</v>
      </c>
      <c r="L132" s="1">
        <v>0</v>
      </c>
      <c r="M132" s="1">
        <v>52584329</v>
      </c>
      <c r="N132" s="1">
        <v>715845</v>
      </c>
      <c r="O132" s="1">
        <v>0</v>
      </c>
      <c r="P132" s="1" t="s">
        <v>28</v>
      </c>
      <c r="Q132" s="1">
        <f t="shared" si="15"/>
        <v>0</v>
      </c>
      <c r="R132" s="1" t="s">
        <v>29</v>
      </c>
      <c r="S132" s="1">
        <f t="shared" si="16"/>
        <v>-166270</v>
      </c>
      <c r="T132" s="1">
        <v>-142525</v>
      </c>
      <c r="U132" s="1">
        <v>0</v>
      </c>
      <c r="V132" s="1">
        <v>0</v>
      </c>
      <c r="W132" s="1" t="s">
        <v>30</v>
      </c>
      <c r="X132" s="1">
        <f t="shared" si="17"/>
        <v>-3401999</v>
      </c>
      <c r="Y132" s="1" t="s">
        <v>31</v>
      </c>
      <c r="Z132" s="1">
        <f t="shared" si="18"/>
        <v>-2261209</v>
      </c>
      <c r="AA132" s="1">
        <v>-5972003</v>
      </c>
      <c r="AB132" s="1" t="s">
        <v>32</v>
      </c>
      <c r="AC132" s="1">
        <f t="shared" si="19"/>
        <v>5557232</v>
      </c>
      <c r="AD132" s="1" t="s">
        <v>33</v>
      </c>
      <c r="AE132" s="1">
        <f t="shared" si="20"/>
        <v>524104</v>
      </c>
    </row>
    <row r="133" spans="1:31" x14ac:dyDescent="0.35">
      <c r="A133" s="1" t="s">
        <v>193</v>
      </c>
      <c r="B133" s="1" t="s">
        <v>194</v>
      </c>
      <c r="C133" s="1" t="s">
        <v>26</v>
      </c>
      <c r="D133" s="1">
        <v>7</v>
      </c>
      <c r="E133" s="2" t="s">
        <v>56</v>
      </c>
      <c r="F133" s="1">
        <f t="shared" si="14"/>
        <v>0</v>
      </c>
      <c r="G133" s="1">
        <v>0</v>
      </c>
      <c r="H133" s="1">
        <v>11093000</v>
      </c>
      <c r="I133" s="1">
        <v>0</v>
      </c>
      <c r="J133" s="1">
        <v>4121000</v>
      </c>
      <c r="K133" s="1">
        <v>0</v>
      </c>
      <c r="L133" s="1">
        <v>0</v>
      </c>
      <c r="M133" s="1">
        <v>15197000</v>
      </c>
      <c r="N133" s="1">
        <v>17000</v>
      </c>
      <c r="O133" s="1">
        <v>0</v>
      </c>
      <c r="P133" s="1" t="s">
        <v>28</v>
      </c>
      <c r="Q133" s="1">
        <f t="shared" si="15"/>
        <v>0</v>
      </c>
      <c r="R133" s="1" t="s">
        <v>195</v>
      </c>
      <c r="S133" s="1">
        <f t="shared" si="16"/>
        <v>-87445</v>
      </c>
      <c r="T133" s="1">
        <v>-680247</v>
      </c>
      <c r="U133" s="1">
        <v>-3149203</v>
      </c>
      <c r="V133" s="1">
        <v>0</v>
      </c>
      <c r="W133" s="1" t="s">
        <v>196</v>
      </c>
      <c r="X133" s="1">
        <f t="shared" si="17"/>
        <v>-1087251</v>
      </c>
      <c r="Y133" s="1" t="s">
        <v>197</v>
      </c>
      <c r="Z133" s="1">
        <f t="shared" si="18"/>
        <v>-796462</v>
      </c>
      <c r="AA133" s="1">
        <v>-5800608</v>
      </c>
      <c r="AB133" s="1" t="s">
        <v>198</v>
      </c>
      <c r="AC133" s="1">
        <f t="shared" si="19"/>
        <v>235685</v>
      </c>
      <c r="AD133" s="1" t="s">
        <v>199</v>
      </c>
      <c r="AE133" s="1">
        <f t="shared" si="20"/>
        <v>45959</v>
      </c>
    </row>
    <row r="134" spans="1:31" x14ac:dyDescent="0.35">
      <c r="A134" s="1" t="s">
        <v>200</v>
      </c>
      <c r="B134" s="1" t="s">
        <v>201</v>
      </c>
      <c r="C134" s="1" t="s">
        <v>26</v>
      </c>
      <c r="D134" s="1">
        <v>17</v>
      </c>
      <c r="E134" s="2" t="s">
        <v>202</v>
      </c>
      <c r="F134" s="1">
        <f t="shared" si="14"/>
        <v>10693</v>
      </c>
      <c r="G134" s="1">
        <v>6970</v>
      </c>
      <c r="H134" s="1">
        <v>4490000</v>
      </c>
      <c r="I134" s="1">
        <v>7974448</v>
      </c>
      <c r="J134" s="1">
        <v>15899974</v>
      </c>
      <c r="K134" s="1">
        <v>472533</v>
      </c>
      <c r="L134" s="1">
        <v>0</v>
      </c>
      <c r="M134" s="1">
        <v>28695638</v>
      </c>
      <c r="N134" s="1">
        <v>141317</v>
      </c>
      <c r="O134" s="1">
        <v>0</v>
      </c>
      <c r="P134" s="1" t="s">
        <v>28</v>
      </c>
      <c r="Q134" s="1">
        <f t="shared" si="15"/>
        <v>0</v>
      </c>
      <c r="R134" s="1" t="s">
        <v>56</v>
      </c>
      <c r="S134" s="1">
        <f t="shared" si="16"/>
        <v>0</v>
      </c>
      <c r="T134" s="1">
        <v>0</v>
      </c>
      <c r="U134" s="1">
        <v>0</v>
      </c>
      <c r="V134" s="1">
        <v>0</v>
      </c>
      <c r="W134" s="1" t="s">
        <v>203</v>
      </c>
      <c r="X134" s="1">
        <f t="shared" si="17"/>
        <v>-1993055</v>
      </c>
      <c r="Y134" s="1" t="s">
        <v>204</v>
      </c>
      <c r="Z134" s="1">
        <f t="shared" si="18"/>
        <v>-1031732</v>
      </c>
      <c r="AA134" s="1">
        <v>-3024787</v>
      </c>
      <c r="AB134" s="1" t="s">
        <v>205</v>
      </c>
      <c r="AC134" s="1">
        <f t="shared" si="19"/>
        <v>529095</v>
      </c>
      <c r="AD134" s="1" t="s">
        <v>206</v>
      </c>
      <c r="AE134" s="1">
        <f t="shared" si="20"/>
        <v>61934</v>
      </c>
    </row>
    <row r="135" spans="1:31" x14ac:dyDescent="0.35">
      <c r="A135" s="1" t="s">
        <v>207</v>
      </c>
      <c r="B135" s="1" t="s">
        <v>208</v>
      </c>
      <c r="C135" s="1" t="s">
        <v>26</v>
      </c>
      <c r="D135" s="1">
        <v>1</v>
      </c>
      <c r="E135" s="2" t="s">
        <v>28</v>
      </c>
      <c r="F135" s="1">
        <f t="shared" si="14"/>
        <v>0</v>
      </c>
      <c r="G135" s="1">
        <v>1338</v>
      </c>
      <c r="H135" s="1">
        <v>0</v>
      </c>
      <c r="I135" s="1">
        <v>4043994</v>
      </c>
      <c r="J135" s="1">
        <v>442275</v>
      </c>
      <c r="K135" s="1">
        <v>2293626</v>
      </c>
      <c r="L135" s="1">
        <v>0</v>
      </c>
      <c r="M135" s="1">
        <v>6779895</v>
      </c>
      <c r="N135" s="1">
        <v>0</v>
      </c>
      <c r="O135" s="1">
        <v>2</v>
      </c>
      <c r="P135" s="1" t="s">
        <v>209</v>
      </c>
      <c r="Q135" s="1">
        <f t="shared" si="15"/>
        <v>447890</v>
      </c>
      <c r="R135" s="1" t="s">
        <v>56</v>
      </c>
      <c r="S135" s="1">
        <f t="shared" si="16"/>
        <v>0</v>
      </c>
      <c r="T135" s="1">
        <v>0</v>
      </c>
      <c r="U135" s="1">
        <v>0</v>
      </c>
      <c r="V135" s="1">
        <v>0</v>
      </c>
      <c r="W135" s="1" t="s">
        <v>56</v>
      </c>
      <c r="X135" s="1">
        <f t="shared" si="17"/>
        <v>0</v>
      </c>
      <c r="Y135" s="1" t="s">
        <v>210</v>
      </c>
      <c r="Z135" s="1">
        <f t="shared" si="18"/>
        <v>-285151</v>
      </c>
      <c r="AA135" s="1">
        <v>-285151</v>
      </c>
      <c r="AB135" s="1" t="s">
        <v>56</v>
      </c>
      <c r="AC135" s="1">
        <f t="shared" si="19"/>
        <v>0</v>
      </c>
      <c r="AD135" s="1" t="s">
        <v>211</v>
      </c>
      <c r="AE135" s="1">
        <f t="shared" si="20"/>
        <v>47344</v>
      </c>
    </row>
    <row r="136" spans="1:31" x14ac:dyDescent="0.35">
      <c r="A136" s="1" t="s">
        <v>212</v>
      </c>
      <c r="B136" s="1" t="s">
        <v>213</v>
      </c>
      <c r="C136" s="1" t="s">
        <v>26</v>
      </c>
      <c r="D136" s="1">
        <v>12</v>
      </c>
      <c r="E136" s="2" t="s">
        <v>28</v>
      </c>
      <c r="F136" s="1">
        <f t="shared" si="14"/>
        <v>0</v>
      </c>
      <c r="G136" s="1">
        <v>0</v>
      </c>
      <c r="H136" s="1">
        <v>8250065</v>
      </c>
      <c r="I136" s="1">
        <v>9738019</v>
      </c>
      <c r="J136" s="1">
        <v>0</v>
      </c>
      <c r="K136" s="1">
        <v>0</v>
      </c>
      <c r="L136" s="1">
        <v>0</v>
      </c>
      <c r="M136" s="1">
        <v>17988084</v>
      </c>
      <c r="N136" s="1">
        <v>0</v>
      </c>
      <c r="O136" s="1">
        <v>0</v>
      </c>
      <c r="P136" s="1" t="s">
        <v>28</v>
      </c>
      <c r="Q136" s="1">
        <f t="shared" si="15"/>
        <v>0</v>
      </c>
      <c r="R136" s="1" t="s">
        <v>56</v>
      </c>
      <c r="S136" s="1">
        <f t="shared" si="16"/>
        <v>0</v>
      </c>
      <c r="T136" s="1">
        <v>-1794419</v>
      </c>
      <c r="U136" s="1">
        <v>0</v>
      </c>
      <c r="V136" s="1">
        <v>0</v>
      </c>
      <c r="W136" s="1" t="s">
        <v>214</v>
      </c>
      <c r="X136" s="1">
        <f t="shared" si="17"/>
        <v>-576449</v>
      </c>
      <c r="Y136" s="1" t="s">
        <v>215</v>
      </c>
      <c r="Z136" s="1">
        <f t="shared" si="18"/>
        <v>-495830</v>
      </c>
      <c r="AA136" s="1">
        <v>-2866698</v>
      </c>
      <c r="AB136" s="1" t="s">
        <v>216</v>
      </c>
      <c r="AC136" s="1">
        <f t="shared" si="19"/>
        <v>438695</v>
      </c>
      <c r="AD136" s="1" t="s">
        <v>217</v>
      </c>
      <c r="AE136" s="1">
        <f t="shared" si="20"/>
        <v>95580</v>
      </c>
    </row>
    <row r="137" spans="1:31" x14ac:dyDescent="0.35">
      <c r="A137" s="1" t="s">
        <v>218</v>
      </c>
      <c r="B137" s="1" t="s">
        <v>219</v>
      </c>
      <c r="C137" s="1" t="s">
        <v>26</v>
      </c>
      <c r="D137" s="1">
        <v>19</v>
      </c>
      <c r="E137" s="2" t="s">
        <v>220</v>
      </c>
      <c r="F137" s="1">
        <f t="shared" si="14"/>
        <v>1132</v>
      </c>
      <c r="G137" s="1">
        <v>850</v>
      </c>
      <c r="H137" s="1">
        <v>23269000</v>
      </c>
      <c r="I137" s="1">
        <v>1171000</v>
      </c>
      <c r="J137" s="1">
        <v>32130000</v>
      </c>
      <c r="K137" s="1">
        <v>2154000</v>
      </c>
      <c r="L137" s="1">
        <v>0</v>
      </c>
      <c r="M137" s="1">
        <v>58724000</v>
      </c>
      <c r="N137" s="1">
        <v>0</v>
      </c>
      <c r="O137" s="1">
        <v>6</v>
      </c>
      <c r="P137" s="1" t="s">
        <v>221</v>
      </c>
      <c r="Q137" s="1">
        <f t="shared" si="15"/>
        <v>469000</v>
      </c>
      <c r="R137" s="1" t="s">
        <v>56</v>
      </c>
      <c r="S137" s="1">
        <f t="shared" si="16"/>
        <v>0</v>
      </c>
      <c r="T137" s="1">
        <v>-469506</v>
      </c>
      <c r="U137" s="1">
        <v>-30051</v>
      </c>
      <c r="V137" s="1">
        <v>0</v>
      </c>
      <c r="W137" s="1" t="s">
        <v>222</v>
      </c>
      <c r="X137" s="1">
        <f t="shared" si="17"/>
        <v>-784543</v>
      </c>
      <c r="Y137" s="1" t="s">
        <v>223</v>
      </c>
      <c r="Z137" s="1">
        <f t="shared" si="18"/>
        <v>-533737</v>
      </c>
      <c r="AA137" s="1">
        <v>-1817837</v>
      </c>
      <c r="AB137" s="1" t="s">
        <v>224</v>
      </c>
      <c r="AC137" s="1">
        <f t="shared" si="19"/>
        <v>946502</v>
      </c>
      <c r="AD137" s="1" t="s">
        <v>225</v>
      </c>
      <c r="AE137" s="1">
        <f t="shared" si="20"/>
        <v>209547</v>
      </c>
    </row>
    <row r="138" spans="1:31" x14ac:dyDescent="0.35">
      <c r="A138" s="1" t="s">
        <v>226</v>
      </c>
      <c r="B138" s="1" t="s">
        <v>227</v>
      </c>
      <c r="C138" s="1" t="s">
        <v>26</v>
      </c>
      <c r="D138" s="1">
        <v>1</v>
      </c>
      <c r="E138" s="2" t="s">
        <v>228</v>
      </c>
      <c r="F138" s="1">
        <f t="shared" si="14"/>
        <v>9738</v>
      </c>
      <c r="G138" s="1">
        <v>840</v>
      </c>
      <c r="H138" s="1">
        <v>0</v>
      </c>
      <c r="I138" s="1">
        <v>13854087</v>
      </c>
      <c r="J138" s="1">
        <v>1542536</v>
      </c>
      <c r="K138" s="1">
        <v>89021</v>
      </c>
      <c r="L138" s="1">
        <v>0</v>
      </c>
      <c r="M138" s="1">
        <v>15479827</v>
      </c>
      <c r="N138" s="1">
        <v>5817</v>
      </c>
      <c r="O138" s="1">
        <v>0</v>
      </c>
      <c r="P138" s="1" t="s">
        <v>28</v>
      </c>
      <c r="Q138" s="1">
        <f t="shared" si="15"/>
        <v>0</v>
      </c>
      <c r="R138" s="1" t="s">
        <v>229</v>
      </c>
      <c r="S138" s="1">
        <f t="shared" si="16"/>
        <v>-178165</v>
      </c>
      <c r="T138" s="1">
        <v>-1551479</v>
      </c>
      <c r="U138" s="1">
        <v>-730833</v>
      </c>
      <c r="V138" s="1">
        <v>0</v>
      </c>
      <c r="W138" s="1" t="s">
        <v>230</v>
      </c>
      <c r="X138" s="1">
        <f t="shared" si="17"/>
        <v>-128208</v>
      </c>
      <c r="Y138" s="1" t="s">
        <v>231</v>
      </c>
      <c r="Z138" s="1">
        <f t="shared" si="18"/>
        <v>-241438</v>
      </c>
      <c r="AA138" s="1">
        <v>-2830123</v>
      </c>
      <c r="AB138" s="1" t="s">
        <v>232</v>
      </c>
      <c r="AC138" s="1">
        <f t="shared" si="19"/>
        <v>221608</v>
      </c>
      <c r="AD138" s="1" t="s">
        <v>233</v>
      </c>
      <c r="AE138" s="1">
        <f t="shared" si="20"/>
        <v>80589</v>
      </c>
    </row>
    <row r="139" spans="1:31" x14ac:dyDescent="0.35">
      <c r="A139" s="1" t="s">
        <v>325</v>
      </c>
      <c r="B139" s="1" t="s">
        <v>326</v>
      </c>
      <c r="C139" s="1" t="s">
        <v>26</v>
      </c>
      <c r="D139" s="1">
        <v>28</v>
      </c>
      <c r="E139" s="2" t="s">
        <v>327</v>
      </c>
      <c r="F139" s="1">
        <f t="shared" si="14"/>
        <v>59818</v>
      </c>
      <c r="G139" s="1">
        <v>0</v>
      </c>
      <c r="H139" s="1">
        <v>3150526</v>
      </c>
      <c r="I139" s="1">
        <v>12092873</v>
      </c>
      <c r="J139" s="1">
        <v>12861301</v>
      </c>
      <c r="K139" s="1">
        <v>1592451</v>
      </c>
      <c r="L139" s="1">
        <v>0</v>
      </c>
      <c r="M139" s="1">
        <v>29697151</v>
      </c>
      <c r="N139" s="1">
        <v>0</v>
      </c>
      <c r="O139" s="1">
        <v>21</v>
      </c>
      <c r="P139" s="1" t="s">
        <v>328</v>
      </c>
      <c r="Q139" s="1">
        <f t="shared" si="15"/>
        <v>1876806</v>
      </c>
      <c r="R139" s="1" t="s">
        <v>329</v>
      </c>
      <c r="S139" s="1">
        <f t="shared" si="16"/>
        <v>-125544</v>
      </c>
      <c r="T139" s="1">
        <v>-114006</v>
      </c>
      <c r="U139" s="1">
        <v>-82491</v>
      </c>
      <c r="V139" s="1">
        <v>0</v>
      </c>
      <c r="W139" s="1" t="s">
        <v>330</v>
      </c>
      <c r="X139" s="1">
        <f t="shared" si="17"/>
        <v>-1997714</v>
      </c>
      <c r="Y139" s="1" t="s">
        <v>331</v>
      </c>
      <c r="Z139" s="1">
        <f t="shared" si="18"/>
        <v>-1941707</v>
      </c>
      <c r="AA139" s="1">
        <v>-4261462</v>
      </c>
      <c r="AB139" s="1" t="s">
        <v>56</v>
      </c>
      <c r="AC139" s="1">
        <f t="shared" si="19"/>
        <v>0</v>
      </c>
      <c r="AD139" s="1" t="s">
        <v>332</v>
      </c>
      <c r="AE139" s="1">
        <f t="shared" si="20"/>
        <v>1120134</v>
      </c>
    </row>
    <row r="140" spans="1:31" x14ac:dyDescent="0.35">
      <c r="A140" s="1" t="s">
        <v>333</v>
      </c>
      <c r="B140" s="1" t="s">
        <v>334</v>
      </c>
      <c r="C140" s="1" t="s">
        <v>26</v>
      </c>
      <c r="D140" s="1">
        <v>4</v>
      </c>
      <c r="E140" s="2" t="s">
        <v>28</v>
      </c>
      <c r="F140" s="1">
        <f t="shared" si="14"/>
        <v>0</v>
      </c>
      <c r="G140" s="1">
        <v>4147</v>
      </c>
      <c r="H140" s="1">
        <v>280000</v>
      </c>
      <c r="I140" s="1">
        <v>1510000</v>
      </c>
      <c r="J140" s="1">
        <v>2011000</v>
      </c>
      <c r="K140" s="1">
        <v>0</v>
      </c>
      <c r="L140" s="1">
        <v>0</v>
      </c>
      <c r="M140" s="1">
        <v>3777000</v>
      </c>
      <c r="N140" s="1">
        <v>24000</v>
      </c>
      <c r="O140" s="1">
        <v>1</v>
      </c>
      <c r="P140" s="1" t="s">
        <v>335</v>
      </c>
      <c r="Q140" s="1">
        <f t="shared" si="15"/>
        <v>78000</v>
      </c>
      <c r="R140" s="1" t="s">
        <v>56</v>
      </c>
      <c r="S140" s="1">
        <f t="shared" si="16"/>
        <v>0</v>
      </c>
      <c r="T140" s="1">
        <v>0</v>
      </c>
      <c r="U140" s="1">
        <v>-554223</v>
      </c>
      <c r="V140" s="1">
        <v>0</v>
      </c>
      <c r="W140" s="1" t="s">
        <v>56</v>
      </c>
      <c r="X140" s="1">
        <f t="shared" si="17"/>
        <v>0</v>
      </c>
      <c r="Y140" s="1" t="s">
        <v>336</v>
      </c>
      <c r="Z140" s="1">
        <f t="shared" si="18"/>
        <v>-139727</v>
      </c>
      <c r="AA140" s="1">
        <v>-693950</v>
      </c>
      <c r="AB140" s="1" t="s">
        <v>337</v>
      </c>
      <c r="AC140" s="1">
        <f t="shared" si="19"/>
        <v>28694</v>
      </c>
      <c r="AD140" s="1" t="s">
        <v>338</v>
      </c>
      <c r="AE140" s="1">
        <f t="shared" si="20"/>
        <v>45274</v>
      </c>
    </row>
    <row r="141" spans="1:31" x14ac:dyDescent="0.35">
      <c r="A141" s="1" t="s">
        <v>339</v>
      </c>
      <c r="B141" s="1" t="s">
        <v>340</v>
      </c>
      <c r="C141" s="1" t="s">
        <v>26</v>
      </c>
      <c r="D141" s="1">
        <v>2</v>
      </c>
      <c r="E141" s="2" t="s">
        <v>28</v>
      </c>
      <c r="F141" s="1">
        <f t="shared" si="14"/>
        <v>0</v>
      </c>
      <c r="G141" s="1">
        <v>455</v>
      </c>
      <c r="H141" s="1">
        <v>361376</v>
      </c>
      <c r="I141" s="1">
        <v>622021</v>
      </c>
      <c r="J141" s="1">
        <v>469347</v>
      </c>
      <c r="K141" s="1">
        <v>60771</v>
      </c>
      <c r="L141" s="1">
        <v>0</v>
      </c>
      <c r="M141" s="1">
        <v>1513515</v>
      </c>
      <c r="N141" s="1">
        <v>0</v>
      </c>
      <c r="O141" s="1">
        <v>2</v>
      </c>
      <c r="P141" s="1" t="s">
        <v>341</v>
      </c>
      <c r="Q141" s="1">
        <f t="shared" si="15"/>
        <v>164960</v>
      </c>
      <c r="R141" s="1" t="s">
        <v>342</v>
      </c>
      <c r="S141" s="1">
        <f t="shared" si="16"/>
        <v>-42988</v>
      </c>
      <c r="T141" s="1">
        <v>-242738</v>
      </c>
      <c r="U141" s="1">
        <v>-13666</v>
      </c>
      <c r="V141" s="1">
        <v>0</v>
      </c>
      <c r="W141" s="1" t="s">
        <v>343</v>
      </c>
      <c r="X141" s="1">
        <f t="shared" si="17"/>
        <v>-119616</v>
      </c>
      <c r="Y141" s="1" t="s">
        <v>344</v>
      </c>
      <c r="Z141" s="1">
        <f t="shared" si="18"/>
        <v>-358453</v>
      </c>
      <c r="AA141" s="1">
        <v>-777461</v>
      </c>
      <c r="AB141" s="1" t="s">
        <v>345</v>
      </c>
      <c r="AC141" s="1">
        <f t="shared" si="19"/>
        <v>512000</v>
      </c>
      <c r="AD141" s="1" t="s">
        <v>346</v>
      </c>
      <c r="AE141" s="1">
        <f t="shared" si="20"/>
        <v>619000</v>
      </c>
    </row>
    <row r="142" spans="1:31" x14ac:dyDescent="0.35">
      <c r="A142" s="1" t="s">
        <v>347</v>
      </c>
      <c r="B142" s="1" t="s">
        <v>348</v>
      </c>
      <c r="C142" s="1" t="s">
        <v>26</v>
      </c>
      <c r="D142" s="1">
        <v>2</v>
      </c>
      <c r="E142" s="2" t="s">
        <v>28</v>
      </c>
      <c r="F142" s="1">
        <f t="shared" si="14"/>
        <v>0</v>
      </c>
      <c r="G142" s="1">
        <v>1395</v>
      </c>
      <c r="H142" s="1">
        <v>0</v>
      </c>
      <c r="I142" s="1">
        <v>11000</v>
      </c>
      <c r="J142" s="1">
        <v>2616053</v>
      </c>
      <c r="K142" s="1">
        <v>366000</v>
      </c>
      <c r="L142" s="1">
        <v>0</v>
      </c>
      <c r="M142" s="1">
        <v>2993053</v>
      </c>
      <c r="N142" s="1">
        <v>0</v>
      </c>
      <c r="O142" s="1">
        <v>0</v>
      </c>
      <c r="P142" s="1" t="s">
        <v>28</v>
      </c>
      <c r="Q142" s="1">
        <f t="shared" si="15"/>
        <v>0</v>
      </c>
      <c r="R142" s="1" t="s">
        <v>349</v>
      </c>
      <c r="S142" s="1">
        <f t="shared" si="16"/>
        <v>-62180</v>
      </c>
      <c r="T142" s="1">
        <v>-162817</v>
      </c>
      <c r="U142" s="1">
        <v>-504547</v>
      </c>
      <c r="V142" s="1">
        <v>0</v>
      </c>
      <c r="W142" s="1" t="s">
        <v>56</v>
      </c>
      <c r="X142" s="1">
        <f t="shared" si="17"/>
        <v>0</v>
      </c>
      <c r="Y142" s="1" t="s">
        <v>350</v>
      </c>
      <c r="Z142" s="1">
        <f t="shared" si="18"/>
        <v>-33544</v>
      </c>
      <c r="AA142" s="1">
        <v>-763088</v>
      </c>
      <c r="AB142" s="1" t="s">
        <v>351</v>
      </c>
      <c r="AC142" s="1">
        <f t="shared" si="19"/>
        <v>73203</v>
      </c>
      <c r="AD142" s="1" t="s">
        <v>352</v>
      </c>
      <c r="AE142" s="1">
        <f t="shared" si="20"/>
        <v>45325</v>
      </c>
    </row>
    <row r="143" spans="1:31" x14ac:dyDescent="0.35">
      <c r="A143" s="1" t="s">
        <v>530</v>
      </c>
      <c r="B143" s="1" t="s">
        <v>531</v>
      </c>
      <c r="C143" s="1" t="s">
        <v>26</v>
      </c>
      <c r="D143" s="1">
        <v>25</v>
      </c>
      <c r="E143" s="2" t="s">
        <v>28</v>
      </c>
      <c r="F143" s="1">
        <f t="shared" si="14"/>
        <v>0</v>
      </c>
      <c r="G143" s="1">
        <v>3000</v>
      </c>
      <c r="H143" s="1">
        <v>2937000</v>
      </c>
      <c r="I143" s="1">
        <v>9914000</v>
      </c>
      <c r="J143" s="1">
        <v>186000</v>
      </c>
      <c r="K143" s="1">
        <v>0</v>
      </c>
      <c r="L143" s="1">
        <v>0</v>
      </c>
      <c r="M143" s="1">
        <v>9038000</v>
      </c>
      <c r="N143" s="1">
        <v>3999000</v>
      </c>
      <c r="O143" s="1">
        <v>0</v>
      </c>
      <c r="P143" s="1" t="s">
        <v>28</v>
      </c>
      <c r="Q143" s="1">
        <f t="shared" si="15"/>
        <v>0</v>
      </c>
      <c r="R143" s="1" t="s">
        <v>532</v>
      </c>
      <c r="S143" s="1">
        <f t="shared" si="16"/>
        <v>-116101</v>
      </c>
      <c r="T143" s="1">
        <v>295951</v>
      </c>
      <c r="U143" s="1">
        <v>0</v>
      </c>
      <c r="V143" s="1">
        <v>0</v>
      </c>
      <c r="W143" s="1" t="s">
        <v>533</v>
      </c>
      <c r="X143" s="1">
        <f t="shared" si="17"/>
        <v>-570635</v>
      </c>
      <c r="Y143" s="1" t="s">
        <v>534</v>
      </c>
      <c r="Z143" s="1">
        <f t="shared" si="18"/>
        <v>-281909</v>
      </c>
      <c r="AA143" s="1">
        <v>-672694</v>
      </c>
      <c r="AB143" s="1" t="s">
        <v>535</v>
      </c>
      <c r="AC143" s="1">
        <f t="shared" si="19"/>
        <v>732917</v>
      </c>
      <c r="AD143" s="1" t="s">
        <v>536</v>
      </c>
      <c r="AE143" s="1">
        <f t="shared" si="20"/>
        <v>23177</v>
      </c>
    </row>
    <row r="144" spans="1:31" x14ac:dyDescent="0.35">
      <c r="A144" s="1" t="s">
        <v>537</v>
      </c>
      <c r="B144" s="1" t="s">
        <v>538</v>
      </c>
      <c r="C144" s="1" t="s">
        <v>26</v>
      </c>
      <c r="D144" s="1">
        <v>5</v>
      </c>
      <c r="E144" s="2" t="s">
        <v>56</v>
      </c>
      <c r="F144" s="1">
        <f t="shared" si="14"/>
        <v>0</v>
      </c>
      <c r="G144" s="1">
        <v>4309</v>
      </c>
      <c r="H144" s="1">
        <v>338678</v>
      </c>
      <c r="I144" s="1">
        <v>2556478</v>
      </c>
      <c r="J144" s="1">
        <v>1371809</v>
      </c>
      <c r="K144" s="1">
        <v>0</v>
      </c>
      <c r="L144" s="1">
        <v>0</v>
      </c>
      <c r="M144" s="1">
        <v>4086965</v>
      </c>
      <c r="N144" s="1">
        <v>180000</v>
      </c>
      <c r="O144" s="1">
        <v>1</v>
      </c>
      <c r="P144" s="1" t="s">
        <v>539</v>
      </c>
      <c r="Q144" s="1">
        <f t="shared" si="15"/>
        <v>9450</v>
      </c>
      <c r="R144" s="1" t="s">
        <v>540</v>
      </c>
      <c r="S144" s="1">
        <f t="shared" si="16"/>
        <v>-190083</v>
      </c>
      <c r="T144" s="1">
        <v>-586337</v>
      </c>
      <c r="U144" s="1">
        <v>-3906</v>
      </c>
      <c r="V144" s="1">
        <v>0</v>
      </c>
      <c r="W144" s="1" t="s">
        <v>541</v>
      </c>
      <c r="X144" s="1">
        <f t="shared" si="17"/>
        <v>-1040522</v>
      </c>
      <c r="Y144" s="1" t="s">
        <v>542</v>
      </c>
      <c r="Z144" s="1">
        <f t="shared" si="18"/>
        <v>-189491</v>
      </c>
      <c r="AA144" s="1">
        <v>-2010339</v>
      </c>
      <c r="AB144" s="1" t="s">
        <v>543</v>
      </c>
      <c r="AC144" s="1">
        <f t="shared" si="19"/>
        <v>169753</v>
      </c>
      <c r="AD144" s="1" t="s">
        <v>544</v>
      </c>
      <c r="AE144" s="1">
        <f t="shared" si="20"/>
        <v>77241</v>
      </c>
    </row>
    <row r="145" spans="1:31" x14ac:dyDescent="0.35">
      <c r="A145" s="1" t="s">
        <v>625</v>
      </c>
      <c r="B145" s="1" t="s">
        <v>626</v>
      </c>
      <c r="C145" s="1" t="s">
        <v>26</v>
      </c>
      <c r="D145" s="1">
        <v>96</v>
      </c>
      <c r="E145" s="2" t="s">
        <v>28</v>
      </c>
      <c r="F145" s="1">
        <f t="shared" si="14"/>
        <v>0</v>
      </c>
      <c r="G145" s="1">
        <v>14260</v>
      </c>
      <c r="H145" s="1">
        <v>36205000</v>
      </c>
      <c r="I145" s="1">
        <v>12781000</v>
      </c>
      <c r="J145" s="1">
        <v>1491960</v>
      </c>
      <c r="K145" s="1">
        <v>12348000</v>
      </c>
      <c r="L145" s="1">
        <v>0</v>
      </c>
      <c r="M145" s="1">
        <v>62717857</v>
      </c>
      <c r="N145" s="1">
        <v>108103</v>
      </c>
      <c r="O145" s="1">
        <v>0</v>
      </c>
      <c r="P145" s="1" t="s">
        <v>28</v>
      </c>
      <c r="Q145" s="1">
        <f t="shared" si="15"/>
        <v>0</v>
      </c>
      <c r="R145" s="1" t="s">
        <v>627</v>
      </c>
      <c r="S145" s="1">
        <f t="shared" si="16"/>
        <v>-309260</v>
      </c>
      <c r="T145" s="1">
        <v>-380970</v>
      </c>
      <c r="U145" s="1">
        <v>-277153</v>
      </c>
      <c r="V145" s="1">
        <v>0</v>
      </c>
      <c r="W145" s="1" t="s">
        <v>628</v>
      </c>
      <c r="X145" s="1">
        <f t="shared" si="17"/>
        <v>-1742689</v>
      </c>
      <c r="Y145" s="1" t="s">
        <v>629</v>
      </c>
      <c r="Z145" s="1">
        <f t="shared" si="18"/>
        <v>-945908</v>
      </c>
      <c r="AA145" s="1">
        <v>-3655980</v>
      </c>
      <c r="AB145" s="1" t="s">
        <v>630</v>
      </c>
      <c r="AC145" s="1">
        <f t="shared" si="19"/>
        <v>6898390</v>
      </c>
      <c r="AD145" s="1" t="s">
        <v>631</v>
      </c>
      <c r="AE145" s="1">
        <f t="shared" si="20"/>
        <v>2498492</v>
      </c>
    </row>
    <row r="146" spans="1:31" x14ac:dyDescent="0.35">
      <c r="A146" s="1" t="s">
        <v>632</v>
      </c>
      <c r="B146" s="1" t="s">
        <v>633</v>
      </c>
      <c r="C146" s="1" t="s">
        <v>26</v>
      </c>
      <c r="D146" s="1">
        <v>22</v>
      </c>
      <c r="E146" s="2" t="s">
        <v>28</v>
      </c>
      <c r="F146" s="1">
        <f t="shared" si="14"/>
        <v>0</v>
      </c>
      <c r="G146" s="1">
        <v>11279</v>
      </c>
      <c r="H146" s="1">
        <v>7440668</v>
      </c>
      <c r="I146" s="1">
        <v>13470308</v>
      </c>
      <c r="J146" s="1">
        <v>0</v>
      </c>
      <c r="K146" s="1">
        <v>0</v>
      </c>
      <c r="L146" s="1">
        <v>0</v>
      </c>
      <c r="M146" s="1">
        <v>20717721</v>
      </c>
      <c r="N146" s="1">
        <v>193255</v>
      </c>
      <c r="O146" s="1">
        <v>1</v>
      </c>
      <c r="P146" s="1" t="s">
        <v>634</v>
      </c>
      <c r="Q146" s="1">
        <f t="shared" si="15"/>
        <v>48592</v>
      </c>
      <c r="R146" s="1" t="s">
        <v>635</v>
      </c>
      <c r="S146" s="1">
        <f t="shared" si="16"/>
        <v>-252500</v>
      </c>
      <c r="T146" s="1">
        <v>-241795</v>
      </c>
      <c r="U146" s="1">
        <v>-7560080</v>
      </c>
      <c r="V146" s="1">
        <v>-47601</v>
      </c>
      <c r="W146" s="1" t="s">
        <v>636</v>
      </c>
      <c r="X146" s="1">
        <f t="shared" si="17"/>
        <v>-1093210</v>
      </c>
      <c r="Y146" s="1" t="s">
        <v>637</v>
      </c>
      <c r="Z146" s="1">
        <f t="shared" si="18"/>
        <v>-556545</v>
      </c>
      <c r="AA146" s="1">
        <v>-9751731</v>
      </c>
      <c r="AB146" s="1" t="s">
        <v>638</v>
      </c>
      <c r="AC146" s="1">
        <f t="shared" si="19"/>
        <v>2295624</v>
      </c>
      <c r="AD146" s="1" t="s">
        <v>639</v>
      </c>
      <c r="AE146" s="1">
        <f t="shared" si="20"/>
        <v>210972</v>
      </c>
    </row>
    <row r="147" spans="1:31" x14ac:dyDescent="0.35">
      <c r="A147" s="1" t="s">
        <v>640</v>
      </c>
      <c r="B147" s="1" t="s">
        <v>641</v>
      </c>
      <c r="C147" s="1" t="s">
        <v>26</v>
      </c>
      <c r="D147" s="1">
        <v>18</v>
      </c>
      <c r="E147" s="2" t="s">
        <v>642</v>
      </c>
      <c r="F147" s="1">
        <f t="shared" si="14"/>
        <v>18443</v>
      </c>
      <c r="G147" s="1">
        <v>4534</v>
      </c>
      <c r="H147" s="1">
        <v>11401000</v>
      </c>
      <c r="I147" s="1">
        <v>719000</v>
      </c>
      <c r="J147" s="1">
        <v>2302000</v>
      </c>
      <c r="K147" s="1">
        <v>4781000</v>
      </c>
      <c r="L147" s="1">
        <v>0</v>
      </c>
      <c r="M147" s="1">
        <v>19203000</v>
      </c>
      <c r="N147" s="1">
        <v>0</v>
      </c>
      <c r="O147" s="1">
        <v>0</v>
      </c>
      <c r="P147" s="1" t="s">
        <v>28</v>
      </c>
      <c r="Q147" s="1">
        <f t="shared" si="15"/>
        <v>0</v>
      </c>
      <c r="R147" s="1" t="s">
        <v>56</v>
      </c>
      <c r="S147" s="1">
        <f t="shared" si="16"/>
        <v>0</v>
      </c>
      <c r="T147" s="1">
        <v>-987359</v>
      </c>
      <c r="U147" s="1">
        <v>0</v>
      </c>
      <c r="V147" s="1">
        <v>0</v>
      </c>
      <c r="W147" s="1" t="s">
        <v>643</v>
      </c>
      <c r="X147" s="1">
        <f t="shared" si="17"/>
        <v>-374470</v>
      </c>
      <c r="Y147" s="1" t="s">
        <v>644</v>
      </c>
      <c r="Z147" s="1">
        <f t="shared" si="18"/>
        <v>-380643</v>
      </c>
      <c r="AA147" s="1">
        <v>-1742472</v>
      </c>
      <c r="AB147" s="1" t="s">
        <v>645</v>
      </c>
      <c r="AC147" s="1">
        <f t="shared" si="19"/>
        <v>863821</v>
      </c>
      <c r="AD147" s="1" t="s">
        <v>646</v>
      </c>
      <c r="AE147" s="1">
        <f t="shared" si="20"/>
        <v>111844</v>
      </c>
    </row>
    <row r="148" spans="1:31" x14ac:dyDescent="0.35">
      <c r="A148" s="1" t="s">
        <v>821</v>
      </c>
      <c r="B148" s="1" t="s">
        <v>822</v>
      </c>
      <c r="C148" s="1" t="s">
        <v>26</v>
      </c>
      <c r="D148" s="1">
        <v>45</v>
      </c>
      <c r="E148" s="2" t="s">
        <v>28</v>
      </c>
      <c r="F148" s="1">
        <f t="shared" si="14"/>
        <v>0</v>
      </c>
      <c r="G148" s="1">
        <v>642</v>
      </c>
      <c r="H148" s="1">
        <v>14688782</v>
      </c>
      <c r="I148" s="1">
        <v>4655280</v>
      </c>
      <c r="J148" s="1">
        <v>2150614</v>
      </c>
      <c r="K148" s="1">
        <v>227607</v>
      </c>
      <c r="L148" s="1">
        <v>0</v>
      </c>
      <c r="M148" s="1">
        <v>21722283</v>
      </c>
      <c r="N148" s="1">
        <v>0</v>
      </c>
      <c r="O148" s="1">
        <v>2</v>
      </c>
      <c r="P148" s="1" t="s">
        <v>823</v>
      </c>
      <c r="Q148" s="1">
        <f t="shared" si="15"/>
        <v>435382</v>
      </c>
      <c r="R148" s="1" t="s">
        <v>824</v>
      </c>
      <c r="S148" s="1">
        <f t="shared" si="16"/>
        <v>-78826</v>
      </c>
      <c r="T148" s="1">
        <v>-2931497</v>
      </c>
      <c r="U148" s="1">
        <v>-752378</v>
      </c>
      <c r="V148" s="1">
        <v>0</v>
      </c>
      <c r="W148" s="1" t="s">
        <v>825</v>
      </c>
      <c r="X148" s="1">
        <f t="shared" si="17"/>
        <v>-587337</v>
      </c>
      <c r="Y148" s="1" t="s">
        <v>826</v>
      </c>
      <c r="Z148" s="1">
        <f t="shared" si="18"/>
        <v>-538627</v>
      </c>
      <c r="AA148" s="1">
        <v>-4888665</v>
      </c>
      <c r="AB148" s="1" t="s">
        <v>827</v>
      </c>
      <c r="AC148" s="1">
        <f t="shared" si="19"/>
        <v>717784</v>
      </c>
      <c r="AD148" s="1" t="s">
        <v>828</v>
      </c>
      <c r="AE148" s="1">
        <f t="shared" si="20"/>
        <v>44332</v>
      </c>
    </row>
    <row r="149" spans="1:31" x14ac:dyDescent="0.35">
      <c r="A149" s="1" t="s">
        <v>868</v>
      </c>
      <c r="B149" s="1" t="s">
        <v>869</v>
      </c>
      <c r="C149" s="1" t="s">
        <v>26</v>
      </c>
      <c r="D149" s="1">
        <v>71</v>
      </c>
      <c r="E149" s="2" t="s">
        <v>870</v>
      </c>
      <c r="F149" s="1">
        <f t="shared" si="14"/>
        <v>58450</v>
      </c>
      <c r="G149" s="1">
        <v>0</v>
      </c>
      <c r="H149" s="1">
        <v>0</v>
      </c>
      <c r="I149" s="1">
        <v>3966106</v>
      </c>
      <c r="J149" s="1">
        <v>0</v>
      </c>
      <c r="K149" s="1">
        <v>0</v>
      </c>
      <c r="L149" s="1">
        <v>0</v>
      </c>
      <c r="M149" s="1">
        <v>3966106</v>
      </c>
      <c r="N149" s="1">
        <v>0</v>
      </c>
      <c r="O149" s="1">
        <v>0</v>
      </c>
      <c r="P149" s="1" t="s">
        <v>28</v>
      </c>
      <c r="Q149" s="1">
        <f t="shared" si="15"/>
        <v>0</v>
      </c>
      <c r="R149" s="1" t="s">
        <v>56</v>
      </c>
      <c r="S149" s="1">
        <f t="shared" si="16"/>
        <v>0</v>
      </c>
      <c r="T149" s="1">
        <v>0</v>
      </c>
      <c r="U149" s="1">
        <v>0</v>
      </c>
      <c r="V149" s="1">
        <v>0</v>
      </c>
      <c r="W149" s="1" t="s">
        <v>56</v>
      </c>
      <c r="X149" s="1">
        <f t="shared" si="17"/>
        <v>0</v>
      </c>
      <c r="Y149" s="1" t="s">
        <v>56</v>
      </c>
      <c r="Z149" s="1">
        <f t="shared" si="18"/>
        <v>0</v>
      </c>
      <c r="AA149" s="1">
        <v>0</v>
      </c>
      <c r="AB149" s="1" t="s">
        <v>871</v>
      </c>
      <c r="AC149" s="1">
        <f t="shared" si="19"/>
        <v>173479</v>
      </c>
      <c r="AD149" s="1" t="s">
        <v>872</v>
      </c>
      <c r="AE149" s="1">
        <f t="shared" si="20"/>
        <v>170400</v>
      </c>
    </row>
    <row r="150" spans="1:31" x14ac:dyDescent="0.35">
      <c r="A150" s="1" t="s">
        <v>939</v>
      </c>
      <c r="B150" s="1" t="s">
        <v>940</v>
      </c>
      <c r="C150" s="1" t="s">
        <v>26</v>
      </c>
      <c r="D150" s="1">
        <v>30</v>
      </c>
      <c r="E150" s="2" t="s">
        <v>941</v>
      </c>
      <c r="F150" s="1">
        <f t="shared" si="14"/>
        <v>11310</v>
      </c>
      <c r="G150" s="1">
        <v>4842</v>
      </c>
      <c r="H150" s="1">
        <v>6437000</v>
      </c>
      <c r="I150" s="1">
        <v>13668000</v>
      </c>
      <c r="J150" s="1">
        <v>1329000</v>
      </c>
      <c r="K150" s="1">
        <v>2454000</v>
      </c>
      <c r="L150" s="1">
        <v>0</v>
      </c>
      <c r="M150" s="1">
        <v>23888000</v>
      </c>
      <c r="N150" s="1">
        <v>0</v>
      </c>
      <c r="O150" s="1">
        <v>0</v>
      </c>
      <c r="P150" s="1" t="s">
        <v>28</v>
      </c>
      <c r="Q150" s="1">
        <f t="shared" si="15"/>
        <v>0</v>
      </c>
      <c r="R150" s="1" t="s">
        <v>56</v>
      </c>
      <c r="S150" s="1">
        <f t="shared" si="16"/>
        <v>0</v>
      </c>
      <c r="T150" s="1">
        <v>-673839</v>
      </c>
      <c r="U150" s="1">
        <v>-386816</v>
      </c>
      <c r="V150" s="1">
        <v>0</v>
      </c>
      <c r="W150" s="1" t="s">
        <v>942</v>
      </c>
      <c r="X150" s="1">
        <f t="shared" si="17"/>
        <v>-1043182</v>
      </c>
      <c r="Y150" s="1" t="s">
        <v>943</v>
      </c>
      <c r="Z150" s="1">
        <f t="shared" si="18"/>
        <v>-356517</v>
      </c>
      <c r="AA150" s="1">
        <v>-2460354</v>
      </c>
      <c r="AB150" s="1" t="s">
        <v>56</v>
      </c>
      <c r="AC150" s="1">
        <f t="shared" si="19"/>
        <v>0</v>
      </c>
      <c r="AD150" s="1" t="s">
        <v>944</v>
      </c>
      <c r="AE150" s="1">
        <f t="shared" si="20"/>
        <v>668441</v>
      </c>
    </row>
    <row r="151" spans="1:31" x14ac:dyDescent="0.35">
      <c r="A151" s="1" t="s">
        <v>995</v>
      </c>
      <c r="B151" s="1" t="s">
        <v>996</v>
      </c>
      <c r="C151" s="1" t="s">
        <v>26</v>
      </c>
      <c r="D151" s="1">
        <v>109</v>
      </c>
      <c r="E151" s="2" t="s">
        <v>56</v>
      </c>
      <c r="F151" s="1">
        <f t="shared" si="14"/>
        <v>0</v>
      </c>
      <c r="G151" s="1">
        <v>10082</v>
      </c>
      <c r="H151" s="1">
        <v>17746508</v>
      </c>
      <c r="I151" s="1">
        <v>9183130</v>
      </c>
      <c r="J151" s="1">
        <v>5949625</v>
      </c>
      <c r="K151" s="1">
        <v>2154423</v>
      </c>
      <c r="L151" s="1">
        <v>0</v>
      </c>
      <c r="M151" s="1">
        <v>35033686</v>
      </c>
      <c r="N151" s="1">
        <v>0</v>
      </c>
      <c r="O151" s="1">
        <v>0</v>
      </c>
      <c r="P151" s="1" t="s">
        <v>28</v>
      </c>
      <c r="Q151" s="1">
        <f t="shared" si="15"/>
        <v>0</v>
      </c>
      <c r="R151" s="1" t="s">
        <v>56</v>
      </c>
      <c r="S151" s="1">
        <f t="shared" si="16"/>
        <v>0</v>
      </c>
      <c r="T151" s="1">
        <v>0</v>
      </c>
      <c r="U151" s="1">
        <v>0</v>
      </c>
      <c r="V151" s="1">
        <v>0</v>
      </c>
      <c r="W151" s="1" t="s">
        <v>56</v>
      </c>
      <c r="X151" s="1">
        <f t="shared" si="17"/>
        <v>0</v>
      </c>
      <c r="Y151" s="1" t="s">
        <v>56</v>
      </c>
      <c r="Z151" s="1">
        <f t="shared" si="18"/>
        <v>0</v>
      </c>
      <c r="AA151" s="1">
        <v>0</v>
      </c>
      <c r="AB151" s="1" t="s">
        <v>997</v>
      </c>
      <c r="AC151" s="1">
        <f t="shared" si="19"/>
        <v>122705</v>
      </c>
      <c r="AD151" s="1" t="s">
        <v>998</v>
      </c>
      <c r="AE151" s="1">
        <f t="shared" si="20"/>
        <v>197208</v>
      </c>
    </row>
    <row r="152" spans="1:31" x14ac:dyDescent="0.35">
      <c r="A152" s="1" t="s">
        <v>999</v>
      </c>
      <c r="B152" s="1" t="s">
        <v>1000</v>
      </c>
      <c r="C152" s="1" t="s">
        <v>26</v>
      </c>
      <c r="D152" s="1">
        <v>114</v>
      </c>
      <c r="E152" s="2" t="s">
        <v>1001</v>
      </c>
      <c r="F152" s="1">
        <f t="shared" si="14"/>
        <v>8059</v>
      </c>
      <c r="G152" s="1">
        <v>4384</v>
      </c>
      <c r="H152" s="1">
        <v>4953000</v>
      </c>
      <c r="I152" s="1">
        <v>12578000</v>
      </c>
      <c r="J152" s="1">
        <v>0</v>
      </c>
      <c r="K152" s="1">
        <v>200000</v>
      </c>
      <c r="L152" s="1">
        <v>0</v>
      </c>
      <c r="M152" s="1">
        <v>17731000</v>
      </c>
      <c r="N152" s="1">
        <v>0</v>
      </c>
      <c r="O152" s="1">
        <v>0</v>
      </c>
      <c r="P152" s="1" t="s">
        <v>28</v>
      </c>
      <c r="Q152" s="1">
        <f t="shared" si="15"/>
        <v>0</v>
      </c>
      <c r="R152" s="1" t="s">
        <v>56</v>
      </c>
      <c r="S152" s="1">
        <f t="shared" si="16"/>
        <v>0</v>
      </c>
      <c r="T152" s="1">
        <v>-9128</v>
      </c>
      <c r="U152" s="1">
        <v>-15902</v>
      </c>
      <c r="V152" s="1">
        <v>-12559</v>
      </c>
      <c r="W152" s="1" t="s">
        <v>56</v>
      </c>
      <c r="X152" s="1">
        <f t="shared" si="17"/>
        <v>0</v>
      </c>
      <c r="Y152" s="1" t="s">
        <v>56</v>
      </c>
      <c r="Z152" s="1">
        <f t="shared" si="18"/>
        <v>0</v>
      </c>
      <c r="AA152" s="1">
        <v>-37589</v>
      </c>
      <c r="AB152" s="1" t="s">
        <v>1002</v>
      </c>
      <c r="AC152" s="1">
        <f t="shared" si="19"/>
        <v>698562</v>
      </c>
      <c r="AD152" s="1" t="s">
        <v>56</v>
      </c>
      <c r="AE152" s="1">
        <f t="shared" si="20"/>
        <v>0</v>
      </c>
    </row>
    <row r="153" spans="1:31" x14ac:dyDescent="0.35">
      <c r="A153" s="1" t="s">
        <v>1047</v>
      </c>
      <c r="B153" s="1" t="s">
        <v>1048</v>
      </c>
      <c r="C153" s="1" t="s">
        <v>26</v>
      </c>
      <c r="D153" s="1">
        <v>22</v>
      </c>
      <c r="E153" s="2" t="s">
        <v>28</v>
      </c>
      <c r="F153" s="1">
        <f t="shared" si="14"/>
        <v>0</v>
      </c>
      <c r="G153" s="1">
        <v>8869</v>
      </c>
      <c r="H153" s="1">
        <v>22827996</v>
      </c>
      <c r="I153" s="1">
        <v>4480104</v>
      </c>
      <c r="J153" s="1">
        <v>5316462</v>
      </c>
      <c r="K153" s="1">
        <v>37404</v>
      </c>
      <c r="L153" s="1">
        <v>0</v>
      </c>
      <c r="M153" s="1">
        <v>32661966</v>
      </c>
      <c r="N153" s="1">
        <v>0</v>
      </c>
      <c r="O153" s="1">
        <v>34</v>
      </c>
      <c r="P153" s="1" t="s">
        <v>1049</v>
      </c>
      <c r="Q153" s="1">
        <f t="shared" si="15"/>
        <v>5317113</v>
      </c>
      <c r="R153" s="1" t="s">
        <v>56</v>
      </c>
      <c r="S153" s="1">
        <f t="shared" si="16"/>
        <v>0</v>
      </c>
      <c r="T153" s="1">
        <v>-203748</v>
      </c>
      <c r="U153" s="1">
        <v>4542</v>
      </c>
      <c r="V153" s="1">
        <v>754</v>
      </c>
      <c r="W153" s="1" t="s">
        <v>1050</v>
      </c>
      <c r="X153" s="1">
        <f t="shared" si="17"/>
        <v>-868924</v>
      </c>
      <c r="Y153" s="1" t="s">
        <v>1051</v>
      </c>
      <c r="Z153" s="1">
        <f t="shared" si="18"/>
        <v>-594934</v>
      </c>
      <c r="AA153" s="1">
        <v>-1662310</v>
      </c>
      <c r="AB153" s="1" t="s">
        <v>1052</v>
      </c>
      <c r="AC153" s="1">
        <f t="shared" si="19"/>
        <v>2247609</v>
      </c>
      <c r="AD153" s="1" t="s">
        <v>1053</v>
      </c>
      <c r="AE153" s="1">
        <f t="shared" si="20"/>
        <v>18311</v>
      </c>
    </row>
    <row r="154" spans="1:31" x14ac:dyDescent="0.35">
      <c r="A154" s="1" t="s">
        <v>1072</v>
      </c>
      <c r="B154" s="1" t="s">
        <v>1073</v>
      </c>
      <c r="C154" s="1" t="s">
        <v>26</v>
      </c>
      <c r="D154" s="1">
        <v>3</v>
      </c>
      <c r="E154" s="2" t="s">
        <v>28</v>
      </c>
      <c r="F154" s="1">
        <f t="shared" si="14"/>
        <v>0</v>
      </c>
      <c r="G154" s="1">
        <v>0</v>
      </c>
      <c r="H154" s="1">
        <v>470000</v>
      </c>
      <c r="I154" s="1">
        <v>2079000</v>
      </c>
      <c r="J154" s="1">
        <v>720000</v>
      </c>
      <c r="K154" s="1">
        <v>566000</v>
      </c>
      <c r="L154" s="1">
        <v>0</v>
      </c>
      <c r="M154" s="1">
        <v>3835000</v>
      </c>
      <c r="N154" s="1">
        <v>0</v>
      </c>
      <c r="O154" s="1">
        <v>1</v>
      </c>
      <c r="P154" s="1" t="s">
        <v>1074</v>
      </c>
      <c r="Q154" s="1">
        <f t="shared" si="15"/>
        <v>121000</v>
      </c>
      <c r="R154" s="1" t="s">
        <v>56</v>
      </c>
      <c r="S154" s="1">
        <f t="shared" si="16"/>
        <v>0</v>
      </c>
      <c r="T154" s="1">
        <v>0</v>
      </c>
      <c r="U154" s="1">
        <v>0</v>
      </c>
      <c r="V154" s="1">
        <v>0</v>
      </c>
      <c r="W154" s="1" t="s">
        <v>1075</v>
      </c>
      <c r="X154" s="1">
        <f t="shared" si="17"/>
        <v>-1247069</v>
      </c>
      <c r="Y154" s="1" t="s">
        <v>1076</v>
      </c>
      <c r="Z154" s="1">
        <f t="shared" si="18"/>
        <v>-595009</v>
      </c>
      <c r="AA154" s="1">
        <v>-1842078</v>
      </c>
      <c r="AB154" s="1" t="s">
        <v>1077</v>
      </c>
      <c r="AC154" s="1">
        <f t="shared" si="19"/>
        <v>483209</v>
      </c>
      <c r="AD154" s="1" t="s">
        <v>1078</v>
      </c>
      <c r="AE154" s="1">
        <f t="shared" si="20"/>
        <v>326837</v>
      </c>
    </row>
    <row r="155" spans="1:31" x14ac:dyDescent="0.35">
      <c r="A155" s="1" t="s">
        <v>1120</v>
      </c>
      <c r="B155" s="1" t="s">
        <v>1121</v>
      </c>
      <c r="C155" s="1" t="s">
        <v>26</v>
      </c>
      <c r="D155" s="1">
        <v>130</v>
      </c>
      <c r="E155" s="2" t="s">
        <v>28</v>
      </c>
      <c r="F155" s="1">
        <f t="shared" si="14"/>
        <v>0</v>
      </c>
      <c r="G155" s="1">
        <v>9842</v>
      </c>
      <c r="H155" s="1">
        <v>1126781</v>
      </c>
      <c r="I155" s="1">
        <v>2627915</v>
      </c>
      <c r="J155" s="1">
        <v>1183406</v>
      </c>
      <c r="K155" s="1">
        <v>0</v>
      </c>
      <c r="L155" s="1">
        <v>0</v>
      </c>
      <c r="M155" s="1">
        <v>4938102</v>
      </c>
      <c r="N155" s="1">
        <v>0</v>
      </c>
      <c r="O155" s="1">
        <v>0</v>
      </c>
      <c r="P155" s="1" t="s">
        <v>28</v>
      </c>
      <c r="Q155" s="1">
        <f t="shared" si="15"/>
        <v>0</v>
      </c>
      <c r="R155" s="1" t="s">
        <v>28</v>
      </c>
      <c r="S155" s="1">
        <f t="shared" si="16"/>
        <v>0</v>
      </c>
      <c r="T155" s="1">
        <v>-582362</v>
      </c>
      <c r="U155" s="1">
        <v>0</v>
      </c>
      <c r="V155" s="1">
        <v>0</v>
      </c>
      <c r="W155" s="1" t="s">
        <v>28</v>
      </c>
      <c r="X155" s="1">
        <f t="shared" si="17"/>
        <v>0</v>
      </c>
      <c r="Y155" s="1" t="s">
        <v>28</v>
      </c>
      <c r="Z155" s="1">
        <f t="shared" si="18"/>
        <v>0</v>
      </c>
      <c r="AA155" s="1">
        <v>-582362</v>
      </c>
      <c r="AB155" s="1" t="s">
        <v>28</v>
      </c>
      <c r="AC155" s="1">
        <f t="shared" si="19"/>
        <v>0</v>
      </c>
      <c r="AD155" s="1" t="s">
        <v>28</v>
      </c>
      <c r="AE155" s="1">
        <f t="shared" si="20"/>
        <v>0</v>
      </c>
    </row>
    <row r="156" spans="1:31" x14ac:dyDescent="0.35">
      <c r="A156" s="1" t="s">
        <v>1128</v>
      </c>
      <c r="B156" s="1" t="s">
        <v>1129</v>
      </c>
      <c r="C156" s="1" t="s">
        <v>26</v>
      </c>
      <c r="D156" s="1">
        <v>49</v>
      </c>
      <c r="E156" s="2" t="s">
        <v>28</v>
      </c>
      <c r="F156" s="1">
        <f t="shared" si="14"/>
        <v>0</v>
      </c>
      <c r="G156" s="1">
        <v>0</v>
      </c>
      <c r="H156" s="1">
        <v>0</v>
      </c>
      <c r="I156" s="1">
        <v>5482191</v>
      </c>
      <c r="J156" s="1">
        <v>607126</v>
      </c>
      <c r="K156" s="1">
        <v>843960</v>
      </c>
      <c r="L156" s="1">
        <v>0</v>
      </c>
      <c r="M156" s="1">
        <v>6933277</v>
      </c>
      <c r="N156" s="1">
        <v>0</v>
      </c>
      <c r="O156" s="1">
        <v>1</v>
      </c>
      <c r="P156" s="1" t="s">
        <v>1130</v>
      </c>
      <c r="Q156" s="1">
        <f t="shared" si="15"/>
        <v>56085</v>
      </c>
      <c r="R156" s="1" t="s">
        <v>56</v>
      </c>
      <c r="S156" s="1">
        <f t="shared" si="16"/>
        <v>0</v>
      </c>
      <c r="T156" s="1">
        <v>-19609</v>
      </c>
      <c r="U156" s="1">
        <v>-65289</v>
      </c>
      <c r="V156" s="1">
        <v>-3430</v>
      </c>
      <c r="W156" s="1" t="s">
        <v>56</v>
      </c>
      <c r="X156" s="1">
        <f t="shared" si="17"/>
        <v>0</v>
      </c>
      <c r="Y156" s="1" t="s">
        <v>56</v>
      </c>
      <c r="Z156" s="1">
        <f t="shared" si="18"/>
        <v>0</v>
      </c>
      <c r="AA156" s="1">
        <v>-88328</v>
      </c>
      <c r="AB156" s="1" t="s">
        <v>56</v>
      </c>
      <c r="AC156" s="1">
        <f t="shared" si="19"/>
        <v>0</v>
      </c>
      <c r="AD156" s="1" t="s">
        <v>1131</v>
      </c>
      <c r="AE156" s="1">
        <f t="shared" si="20"/>
        <v>133968</v>
      </c>
    </row>
    <row r="157" spans="1:31" x14ac:dyDescent="0.35">
      <c r="A157" s="1" t="s">
        <v>1164</v>
      </c>
      <c r="B157" s="1" t="s">
        <v>1165</v>
      </c>
      <c r="C157" s="1" t="s">
        <v>26</v>
      </c>
      <c r="D157" s="1">
        <v>354</v>
      </c>
      <c r="E157" s="2" t="s">
        <v>28</v>
      </c>
      <c r="F157" s="1">
        <f t="shared" si="14"/>
        <v>0</v>
      </c>
      <c r="G157" s="1">
        <v>1215</v>
      </c>
      <c r="H157" s="1">
        <v>10993523</v>
      </c>
      <c r="I157" s="1">
        <v>1562647</v>
      </c>
      <c r="J157" s="1">
        <v>5325836</v>
      </c>
      <c r="K157" s="1">
        <v>600440</v>
      </c>
      <c r="L157" s="1">
        <v>0</v>
      </c>
      <c r="M157" s="1">
        <v>18067446</v>
      </c>
      <c r="N157" s="1">
        <v>415000</v>
      </c>
      <c r="O157" s="1">
        <v>1</v>
      </c>
      <c r="P157" s="1" t="s">
        <v>1166</v>
      </c>
      <c r="Q157" s="1">
        <f t="shared" si="15"/>
        <v>143000</v>
      </c>
      <c r="R157" s="1" t="s">
        <v>1167</v>
      </c>
      <c r="S157" s="1">
        <f t="shared" si="16"/>
        <v>-492453</v>
      </c>
      <c r="T157" s="1">
        <v>-1446970</v>
      </c>
      <c r="U157" s="1">
        <v>-113632</v>
      </c>
      <c r="V157" s="1">
        <v>0</v>
      </c>
      <c r="W157" s="1" t="s">
        <v>1168</v>
      </c>
      <c r="X157" s="1">
        <f t="shared" si="17"/>
        <v>-1221025</v>
      </c>
      <c r="Y157" s="1" t="s">
        <v>1169</v>
      </c>
      <c r="Z157" s="1">
        <f t="shared" si="18"/>
        <v>-596522</v>
      </c>
      <c r="AA157" s="1">
        <v>-3870602</v>
      </c>
      <c r="AB157" s="1" t="s">
        <v>1170</v>
      </c>
      <c r="AC157" s="1">
        <f t="shared" si="19"/>
        <v>3398689</v>
      </c>
      <c r="AD157" s="1" t="s">
        <v>1171</v>
      </c>
      <c r="AE157" s="1">
        <f t="shared" si="20"/>
        <v>42271</v>
      </c>
    </row>
    <row r="158" spans="1:31" x14ac:dyDescent="0.35">
      <c r="A158" s="1" t="s">
        <v>1175</v>
      </c>
      <c r="B158" s="1" t="s">
        <v>1176</v>
      </c>
      <c r="C158" s="1" t="s">
        <v>26</v>
      </c>
      <c r="D158" s="1">
        <v>4</v>
      </c>
      <c r="E158" s="2" t="s">
        <v>1177</v>
      </c>
      <c r="F158" s="1">
        <f t="shared" si="14"/>
        <v>36913</v>
      </c>
      <c r="G158" s="1">
        <v>5662</v>
      </c>
      <c r="H158" s="1">
        <v>7067128</v>
      </c>
      <c r="I158" s="1">
        <v>9940964</v>
      </c>
      <c r="J158" s="1">
        <v>6304920</v>
      </c>
      <c r="K158" s="1">
        <v>4883151</v>
      </c>
      <c r="L158" s="1">
        <v>0</v>
      </c>
      <c r="M158" s="1">
        <v>28196163</v>
      </c>
      <c r="N158" s="1">
        <v>0</v>
      </c>
      <c r="O158" s="1">
        <v>5</v>
      </c>
      <c r="P158" s="1" t="s">
        <v>1178</v>
      </c>
      <c r="Q158" s="1">
        <f t="shared" si="15"/>
        <v>984878</v>
      </c>
      <c r="R158" s="1" t="s">
        <v>1179</v>
      </c>
      <c r="S158" s="1">
        <f t="shared" si="16"/>
        <v>-94599</v>
      </c>
      <c r="T158" s="1">
        <v>-423672</v>
      </c>
      <c r="U158" s="1">
        <v>-1543651</v>
      </c>
      <c r="V158" s="1">
        <v>0</v>
      </c>
      <c r="W158" s="1" t="s">
        <v>1180</v>
      </c>
      <c r="X158" s="1">
        <f t="shared" si="17"/>
        <v>-2228987</v>
      </c>
      <c r="Y158" s="1" t="s">
        <v>1181</v>
      </c>
      <c r="Z158" s="1">
        <f t="shared" si="18"/>
        <v>-747645</v>
      </c>
      <c r="AA158" s="1">
        <v>-5038554</v>
      </c>
      <c r="AB158" s="1" t="s">
        <v>1182</v>
      </c>
      <c r="AC158" s="1">
        <f t="shared" si="19"/>
        <v>2297300</v>
      </c>
      <c r="AD158" s="1" t="s">
        <v>1183</v>
      </c>
      <c r="AE158" s="1">
        <f t="shared" si="20"/>
        <v>22806</v>
      </c>
    </row>
    <row r="159" spans="1:31" x14ac:dyDescent="0.35">
      <c r="A159" s="1" t="s">
        <v>1195</v>
      </c>
      <c r="B159" s="1" t="s">
        <v>1196</v>
      </c>
      <c r="C159" s="1" t="s">
        <v>26</v>
      </c>
      <c r="D159" s="1">
        <v>32</v>
      </c>
      <c r="E159" s="2" t="s">
        <v>1197</v>
      </c>
      <c r="F159" s="1">
        <f t="shared" si="14"/>
        <v>107099</v>
      </c>
      <c r="G159" s="1">
        <v>7200</v>
      </c>
      <c r="H159" s="1">
        <v>0</v>
      </c>
      <c r="I159" s="1">
        <v>15135244</v>
      </c>
      <c r="J159" s="1">
        <v>10110856</v>
      </c>
      <c r="K159" s="1">
        <v>28919</v>
      </c>
      <c r="L159" s="1">
        <v>10110856</v>
      </c>
      <c r="M159" s="1">
        <v>14991581</v>
      </c>
      <c r="N159" s="1">
        <v>172582</v>
      </c>
      <c r="O159" s="1">
        <v>1</v>
      </c>
      <c r="P159" s="1" t="s">
        <v>56</v>
      </c>
      <c r="Q159" s="1">
        <f t="shared" si="15"/>
        <v>0</v>
      </c>
      <c r="R159" s="1" t="s">
        <v>56</v>
      </c>
      <c r="S159" s="1">
        <f t="shared" si="16"/>
        <v>0</v>
      </c>
      <c r="T159" s="1">
        <v>-2301493</v>
      </c>
      <c r="U159" s="1">
        <v>-736167</v>
      </c>
      <c r="V159" s="1">
        <v>-13398</v>
      </c>
      <c r="W159" s="1" t="s">
        <v>56</v>
      </c>
      <c r="X159" s="1">
        <f t="shared" si="17"/>
        <v>0</v>
      </c>
      <c r="Y159" s="1" t="s">
        <v>1198</v>
      </c>
      <c r="Z159" s="1">
        <f t="shared" si="18"/>
        <v>-835142</v>
      </c>
      <c r="AA159" s="1">
        <v>-3886200</v>
      </c>
      <c r="AB159" s="1" t="s">
        <v>1199</v>
      </c>
      <c r="AC159" s="1">
        <f t="shared" si="19"/>
        <v>2160422</v>
      </c>
      <c r="AD159" s="1" t="s">
        <v>1200</v>
      </c>
      <c r="AE159" s="1">
        <f t="shared" si="20"/>
        <v>543780</v>
      </c>
    </row>
    <row r="160" spans="1:31" x14ac:dyDescent="0.35">
      <c r="A160" s="1" t="s">
        <v>1206</v>
      </c>
      <c r="B160" s="1" t="s">
        <v>1207</v>
      </c>
      <c r="C160" s="1" t="s">
        <v>26</v>
      </c>
      <c r="D160" s="1">
        <v>84</v>
      </c>
      <c r="E160" s="2" t="s">
        <v>28</v>
      </c>
      <c r="F160" s="1">
        <f t="shared" si="14"/>
        <v>0</v>
      </c>
      <c r="G160" s="1">
        <v>10948</v>
      </c>
      <c r="H160" s="1">
        <v>62542299</v>
      </c>
      <c r="I160" s="1">
        <v>7036779</v>
      </c>
      <c r="J160" s="1">
        <v>2819953</v>
      </c>
      <c r="K160" s="1">
        <v>1689602</v>
      </c>
      <c r="L160" s="1">
        <v>0</v>
      </c>
      <c r="M160" s="1">
        <v>74088633</v>
      </c>
      <c r="N160" s="1">
        <v>0</v>
      </c>
      <c r="O160" s="1">
        <v>1</v>
      </c>
      <c r="P160" s="1" t="s">
        <v>1208</v>
      </c>
      <c r="Q160" s="1">
        <f t="shared" si="15"/>
        <v>50548</v>
      </c>
      <c r="R160" s="1" t="s">
        <v>56</v>
      </c>
      <c r="S160" s="1">
        <f t="shared" si="16"/>
        <v>0</v>
      </c>
      <c r="T160" s="1">
        <v>-750557</v>
      </c>
      <c r="U160" s="1">
        <v>0</v>
      </c>
      <c r="V160" s="1">
        <v>-216354</v>
      </c>
      <c r="W160" s="1" t="s">
        <v>1209</v>
      </c>
      <c r="X160" s="1">
        <f t="shared" si="17"/>
        <v>-100565</v>
      </c>
      <c r="Y160" s="1" t="s">
        <v>1210</v>
      </c>
      <c r="Z160" s="1">
        <f t="shared" si="18"/>
        <v>-224430</v>
      </c>
      <c r="AA160" s="1">
        <v>-1291906</v>
      </c>
      <c r="AB160" s="1" t="s">
        <v>56</v>
      </c>
      <c r="AC160" s="1">
        <f t="shared" si="19"/>
        <v>0</v>
      </c>
      <c r="AD160" s="1" t="s">
        <v>1211</v>
      </c>
      <c r="AE160" s="1">
        <f t="shared" si="20"/>
        <v>160649</v>
      </c>
    </row>
    <row r="161" spans="1:31" x14ac:dyDescent="0.35">
      <c r="A161" s="1" t="s">
        <v>1226</v>
      </c>
      <c r="B161" s="1" t="s">
        <v>1227</v>
      </c>
      <c r="C161" s="1" t="s">
        <v>26</v>
      </c>
      <c r="D161" s="1">
        <v>60</v>
      </c>
      <c r="E161" s="2" t="s">
        <v>56</v>
      </c>
      <c r="F161" s="1">
        <f t="shared" si="14"/>
        <v>0</v>
      </c>
      <c r="G161" s="1">
        <v>0</v>
      </c>
      <c r="H161" s="1">
        <v>0</v>
      </c>
      <c r="I161" s="1">
        <v>514699</v>
      </c>
      <c r="J161" s="1">
        <v>425752</v>
      </c>
      <c r="K161" s="1">
        <v>0</v>
      </c>
      <c r="L161" s="1">
        <v>0</v>
      </c>
      <c r="M161" s="1">
        <v>940451</v>
      </c>
      <c r="N161" s="1">
        <v>0</v>
      </c>
      <c r="O161" s="1">
        <v>2</v>
      </c>
      <c r="P161" s="1" t="s">
        <v>1203</v>
      </c>
      <c r="Q161" s="1">
        <f t="shared" si="15"/>
        <v>150000</v>
      </c>
      <c r="R161" s="1" t="s">
        <v>56</v>
      </c>
      <c r="S161" s="1">
        <f t="shared" si="16"/>
        <v>0</v>
      </c>
      <c r="T161" s="1">
        <v>0</v>
      </c>
      <c r="U161" s="1">
        <v>-2352</v>
      </c>
      <c r="V161" s="1">
        <v>0</v>
      </c>
      <c r="W161" s="1" t="s">
        <v>56</v>
      </c>
      <c r="X161" s="1">
        <f t="shared" si="17"/>
        <v>0</v>
      </c>
      <c r="Y161" s="1" t="s">
        <v>56</v>
      </c>
      <c r="Z161" s="1">
        <f t="shared" si="18"/>
        <v>0</v>
      </c>
      <c r="AA161" s="1">
        <v>-2352</v>
      </c>
      <c r="AB161" s="1" t="s">
        <v>56</v>
      </c>
      <c r="AC161" s="1">
        <f t="shared" si="19"/>
        <v>0</v>
      </c>
      <c r="AD161" s="1" t="s">
        <v>1228</v>
      </c>
      <c r="AE161" s="1">
        <f t="shared" si="20"/>
        <v>63360</v>
      </c>
    </row>
    <row r="162" spans="1:31" x14ac:dyDescent="0.35">
      <c r="A162" s="1" t="s">
        <v>1248</v>
      </c>
      <c r="B162" s="1" t="s">
        <v>1249</v>
      </c>
      <c r="C162" s="1" t="s">
        <v>26</v>
      </c>
      <c r="D162" s="1">
        <v>11</v>
      </c>
      <c r="E162" s="2" t="s">
        <v>28</v>
      </c>
      <c r="F162" s="1">
        <f t="shared" si="14"/>
        <v>0</v>
      </c>
      <c r="G162" s="1">
        <v>0</v>
      </c>
      <c r="H162" s="1">
        <v>245833</v>
      </c>
      <c r="I162" s="1">
        <v>76618</v>
      </c>
      <c r="J162" s="1">
        <v>122962</v>
      </c>
      <c r="K162" s="1">
        <v>0</v>
      </c>
      <c r="L162" s="1">
        <v>0</v>
      </c>
      <c r="M162" s="1">
        <v>445413</v>
      </c>
      <c r="N162" s="1">
        <v>0</v>
      </c>
      <c r="O162" s="1">
        <v>0</v>
      </c>
      <c r="P162" s="1" t="s">
        <v>28</v>
      </c>
      <c r="Q162" s="1">
        <f t="shared" si="15"/>
        <v>0</v>
      </c>
      <c r="R162" s="1" t="s">
        <v>1250</v>
      </c>
      <c r="S162" s="1">
        <f t="shared" si="16"/>
        <v>-17250</v>
      </c>
      <c r="T162" s="1">
        <v>0</v>
      </c>
      <c r="U162" s="1">
        <v>0</v>
      </c>
      <c r="V162" s="1">
        <v>0</v>
      </c>
      <c r="W162" s="1" t="s">
        <v>56</v>
      </c>
      <c r="X162" s="1">
        <f t="shared" si="17"/>
        <v>0</v>
      </c>
      <c r="Y162" s="1" t="s">
        <v>56</v>
      </c>
      <c r="Z162" s="1">
        <f t="shared" si="18"/>
        <v>0</v>
      </c>
      <c r="AA162" s="1">
        <v>-17250</v>
      </c>
      <c r="AB162" s="1" t="s">
        <v>56</v>
      </c>
      <c r="AC162" s="1">
        <f t="shared" si="19"/>
        <v>0</v>
      </c>
      <c r="AD162" s="1" t="s">
        <v>1251</v>
      </c>
      <c r="AE162" s="1">
        <f t="shared" si="20"/>
        <v>46755</v>
      </c>
    </row>
    <row r="163" spans="1:31" x14ac:dyDescent="0.35">
      <c r="A163" s="1" t="s">
        <v>59</v>
      </c>
      <c r="B163" s="1" t="s">
        <v>60</v>
      </c>
      <c r="C163" s="1" t="s">
        <v>61</v>
      </c>
      <c r="D163" s="1">
        <v>74</v>
      </c>
      <c r="E163" s="2" t="s">
        <v>62</v>
      </c>
      <c r="F163" s="1">
        <f t="shared" si="14"/>
        <v>23155</v>
      </c>
      <c r="G163" s="1">
        <v>15795</v>
      </c>
      <c r="H163" s="1">
        <v>11465000</v>
      </c>
      <c r="I163" s="1">
        <v>3312000</v>
      </c>
      <c r="J163" s="1">
        <v>2377000</v>
      </c>
      <c r="K163" s="1">
        <v>47000</v>
      </c>
      <c r="L163" s="1">
        <v>0</v>
      </c>
      <c r="M163" s="1">
        <v>17201000</v>
      </c>
      <c r="N163" s="1">
        <v>0</v>
      </c>
      <c r="O163" s="1">
        <v>1</v>
      </c>
      <c r="P163" s="1" t="s">
        <v>63</v>
      </c>
      <c r="Q163" s="1">
        <f t="shared" si="15"/>
        <v>789000</v>
      </c>
      <c r="R163" s="1" t="s">
        <v>56</v>
      </c>
      <c r="S163" s="1">
        <f t="shared" si="16"/>
        <v>0</v>
      </c>
      <c r="T163" s="1">
        <v>-77450</v>
      </c>
      <c r="U163" s="1">
        <v>-4431504</v>
      </c>
      <c r="V163" s="1">
        <v>0</v>
      </c>
      <c r="W163" s="1" t="s">
        <v>64</v>
      </c>
      <c r="X163" s="1">
        <f t="shared" si="17"/>
        <v>-270300</v>
      </c>
      <c r="Y163" s="1" t="s">
        <v>56</v>
      </c>
      <c r="Z163" s="1">
        <f t="shared" si="18"/>
        <v>0</v>
      </c>
      <c r="AA163" s="1">
        <v>-4779254</v>
      </c>
      <c r="AB163" s="1" t="s">
        <v>65</v>
      </c>
      <c r="AC163" s="1">
        <f t="shared" si="19"/>
        <v>31174</v>
      </c>
      <c r="AD163" s="1" t="s">
        <v>66</v>
      </c>
      <c r="AE163" s="1">
        <f t="shared" si="20"/>
        <v>62480</v>
      </c>
    </row>
    <row r="164" spans="1:31" x14ac:dyDescent="0.35">
      <c r="A164" s="1" t="s">
        <v>72</v>
      </c>
      <c r="B164" s="1" t="s">
        <v>73</v>
      </c>
      <c r="C164" s="1" t="s">
        <v>61</v>
      </c>
      <c r="D164" s="1">
        <v>14</v>
      </c>
      <c r="E164" s="2" t="s">
        <v>28</v>
      </c>
      <c r="F164" s="1">
        <f t="shared" si="14"/>
        <v>0</v>
      </c>
      <c r="G164" s="1">
        <v>32100</v>
      </c>
      <c r="H164" s="1">
        <v>4642777</v>
      </c>
      <c r="I164" s="1">
        <v>19919419</v>
      </c>
      <c r="J164" s="1">
        <v>597160</v>
      </c>
      <c r="K164" s="1">
        <v>49885</v>
      </c>
      <c r="L164" s="1">
        <v>0</v>
      </c>
      <c r="M164" s="1">
        <v>25209241</v>
      </c>
      <c r="N164" s="1">
        <v>0</v>
      </c>
      <c r="O164" s="1">
        <v>0</v>
      </c>
      <c r="P164" s="1" t="s">
        <v>28</v>
      </c>
      <c r="Q164" s="1">
        <f t="shared" si="15"/>
        <v>0</v>
      </c>
      <c r="R164" s="1" t="s">
        <v>74</v>
      </c>
      <c r="S164" s="1">
        <f t="shared" si="16"/>
        <v>-111068</v>
      </c>
      <c r="T164" s="1">
        <v>-482764</v>
      </c>
      <c r="U164" s="1">
        <v>-153760</v>
      </c>
      <c r="V164" s="1">
        <v>-30000</v>
      </c>
      <c r="W164" s="1" t="s">
        <v>75</v>
      </c>
      <c r="X164" s="1">
        <f t="shared" si="17"/>
        <v>-420240</v>
      </c>
      <c r="Y164" s="1" t="s">
        <v>76</v>
      </c>
      <c r="Z164" s="1">
        <f t="shared" si="18"/>
        <v>-175018</v>
      </c>
      <c r="AA164" s="1">
        <v>-1372850</v>
      </c>
      <c r="AB164" s="1" t="s">
        <v>77</v>
      </c>
      <c r="AC164" s="1">
        <f t="shared" si="19"/>
        <v>123683</v>
      </c>
      <c r="AD164" s="1" t="s">
        <v>78</v>
      </c>
      <c r="AE164" s="1">
        <f t="shared" si="20"/>
        <v>1398640</v>
      </c>
    </row>
    <row r="165" spans="1:31" x14ac:dyDescent="0.35">
      <c r="A165" s="1" t="s">
        <v>101</v>
      </c>
      <c r="B165" s="1" t="s">
        <v>102</v>
      </c>
      <c r="C165" s="1" t="s">
        <v>61</v>
      </c>
      <c r="D165" s="1">
        <v>10</v>
      </c>
      <c r="E165" s="2" t="s">
        <v>28</v>
      </c>
      <c r="F165" s="1">
        <f t="shared" si="14"/>
        <v>0</v>
      </c>
      <c r="G165" s="1">
        <v>19211</v>
      </c>
      <c r="H165" s="1">
        <v>15953479</v>
      </c>
      <c r="I165" s="1">
        <v>9342736</v>
      </c>
      <c r="J165" s="1">
        <v>2654449</v>
      </c>
      <c r="K165" s="1">
        <v>0</v>
      </c>
      <c r="L165" s="1">
        <v>0</v>
      </c>
      <c r="M165" s="1">
        <v>27921864</v>
      </c>
      <c r="N165" s="1">
        <v>28800</v>
      </c>
      <c r="O165" s="1">
        <v>17</v>
      </c>
      <c r="P165" s="1" t="s">
        <v>103</v>
      </c>
      <c r="Q165" s="1">
        <f t="shared" si="15"/>
        <v>109163</v>
      </c>
      <c r="R165" s="1" t="s">
        <v>104</v>
      </c>
      <c r="S165" s="1">
        <f t="shared" si="16"/>
        <v>-350997</v>
      </c>
      <c r="T165" s="1">
        <v>-109755</v>
      </c>
      <c r="U165" s="1">
        <v>0</v>
      </c>
      <c r="V165" s="1">
        <v>0</v>
      </c>
      <c r="W165" s="1" t="s">
        <v>105</v>
      </c>
      <c r="X165" s="1">
        <f t="shared" si="17"/>
        <v>-1129072</v>
      </c>
      <c r="Y165" s="1" t="s">
        <v>106</v>
      </c>
      <c r="Z165" s="1">
        <f t="shared" si="18"/>
        <v>-463138</v>
      </c>
      <c r="AA165" s="1">
        <v>-2052962</v>
      </c>
      <c r="AB165" s="1" t="s">
        <v>107</v>
      </c>
      <c r="AC165" s="1">
        <f t="shared" si="19"/>
        <v>1204000</v>
      </c>
      <c r="AD165" s="1" t="s">
        <v>108</v>
      </c>
      <c r="AE165" s="1">
        <f t="shared" si="20"/>
        <v>287125</v>
      </c>
    </row>
    <row r="166" spans="1:31" x14ac:dyDescent="0.35">
      <c r="A166" s="1" t="s">
        <v>302</v>
      </c>
      <c r="B166" s="1" t="s">
        <v>303</v>
      </c>
      <c r="C166" s="1" t="s">
        <v>61</v>
      </c>
      <c r="D166" s="1">
        <v>84</v>
      </c>
      <c r="E166" s="2" t="s">
        <v>304</v>
      </c>
      <c r="F166" s="1">
        <f t="shared" si="14"/>
        <v>19678</v>
      </c>
      <c r="G166" s="1">
        <v>2261</v>
      </c>
      <c r="H166" s="1">
        <v>0</v>
      </c>
      <c r="I166" s="1">
        <v>1045000</v>
      </c>
      <c r="J166" s="1">
        <v>1545000</v>
      </c>
      <c r="K166" s="1">
        <v>0</v>
      </c>
      <c r="L166" s="1">
        <v>0</v>
      </c>
      <c r="M166" s="1">
        <v>2185633</v>
      </c>
      <c r="N166" s="1">
        <v>404367</v>
      </c>
      <c r="O166" s="1">
        <v>0</v>
      </c>
      <c r="P166" s="1" t="s">
        <v>28</v>
      </c>
      <c r="Q166" s="1">
        <f t="shared" si="15"/>
        <v>0</v>
      </c>
      <c r="R166" s="1" t="s">
        <v>56</v>
      </c>
      <c r="S166" s="1">
        <f t="shared" si="16"/>
        <v>0</v>
      </c>
      <c r="T166" s="1">
        <v>-53449</v>
      </c>
      <c r="U166" s="1">
        <v>-23289</v>
      </c>
      <c r="V166" s="1">
        <v>-10</v>
      </c>
      <c r="W166" s="1" t="s">
        <v>56</v>
      </c>
      <c r="X166" s="1">
        <f t="shared" si="17"/>
        <v>0</v>
      </c>
      <c r="Y166" s="1" t="s">
        <v>56</v>
      </c>
      <c r="Z166" s="1">
        <f t="shared" si="18"/>
        <v>0</v>
      </c>
      <c r="AA166" s="1">
        <v>-76748</v>
      </c>
      <c r="AB166" s="1" t="s">
        <v>305</v>
      </c>
      <c r="AC166" s="1">
        <f t="shared" si="19"/>
        <v>309462</v>
      </c>
      <c r="AD166" s="1" t="s">
        <v>306</v>
      </c>
      <c r="AE166" s="1">
        <f t="shared" si="20"/>
        <v>66382</v>
      </c>
    </row>
    <row r="167" spans="1:31" x14ac:dyDescent="0.35">
      <c r="A167" s="1" t="s">
        <v>307</v>
      </c>
      <c r="B167" s="1" t="s">
        <v>308</v>
      </c>
      <c r="C167" s="1" t="s">
        <v>61</v>
      </c>
      <c r="D167" s="1">
        <v>18</v>
      </c>
      <c r="E167" s="2" t="s">
        <v>309</v>
      </c>
      <c r="F167" s="1">
        <f t="shared" si="14"/>
        <v>34277</v>
      </c>
      <c r="G167" s="1">
        <v>18078</v>
      </c>
      <c r="H167" s="1">
        <v>23802478</v>
      </c>
      <c r="I167" s="1">
        <v>10797347</v>
      </c>
      <c r="J167" s="1">
        <v>10077098</v>
      </c>
      <c r="K167" s="1">
        <v>214567</v>
      </c>
      <c r="L167" s="1">
        <v>0</v>
      </c>
      <c r="M167" s="1">
        <v>44331490</v>
      </c>
      <c r="N167" s="1">
        <v>560000</v>
      </c>
      <c r="O167" s="1">
        <v>0</v>
      </c>
      <c r="P167" s="1" t="s">
        <v>28</v>
      </c>
      <c r="Q167" s="1">
        <f t="shared" si="15"/>
        <v>0</v>
      </c>
      <c r="R167" s="1" t="s">
        <v>56</v>
      </c>
      <c r="S167" s="1">
        <f t="shared" si="16"/>
        <v>0</v>
      </c>
      <c r="T167" s="1">
        <v>-442052</v>
      </c>
      <c r="U167" s="1">
        <v>-299412</v>
      </c>
      <c r="V167" s="1">
        <v>0</v>
      </c>
      <c r="W167" s="1" t="s">
        <v>310</v>
      </c>
      <c r="X167" s="1">
        <f t="shared" si="17"/>
        <v>-3380794</v>
      </c>
      <c r="Y167" s="1" t="s">
        <v>311</v>
      </c>
      <c r="Z167" s="1">
        <f t="shared" si="18"/>
        <v>-1390749</v>
      </c>
      <c r="AA167" s="1">
        <v>-5513007</v>
      </c>
      <c r="AB167" s="1" t="s">
        <v>312</v>
      </c>
      <c r="AC167" s="1">
        <f t="shared" si="19"/>
        <v>211197</v>
      </c>
      <c r="AD167" s="1" t="s">
        <v>313</v>
      </c>
      <c r="AE167" s="1">
        <f t="shared" si="20"/>
        <v>151216</v>
      </c>
    </row>
    <row r="168" spans="1:31" x14ac:dyDescent="0.35">
      <c r="A168" s="1" t="s">
        <v>440</v>
      </c>
      <c r="B168" s="1" t="s">
        <v>441</v>
      </c>
      <c r="C168" s="1" t="s">
        <v>61</v>
      </c>
      <c r="D168" s="1">
        <v>10</v>
      </c>
      <c r="E168" s="2" t="s">
        <v>28</v>
      </c>
      <c r="F168" s="1">
        <f t="shared" si="14"/>
        <v>0</v>
      </c>
      <c r="G168" s="1">
        <v>0</v>
      </c>
      <c r="H168" s="1">
        <v>20688000</v>
      </c>
      <c r="I168" s="1">
        <v>12209000</v>
      </c>
      <c r="J168" s="1">
        <v>12453000</v>
      </c>
      <c r="K168" s="1">
        <v>1330000</v>
      </c>
      <c r="L168" s="1">
        <v>0</v>
      </c>
      <c r="M168" s="1">
        <v>42780000</v>
      </c>
      <c r="N168" s="1">
        <v>3900000</v>
      </c>
      <c r="O168" s="1">
        <v>0</v>
      </c>
      <c r="P168" s="1" t="s">
        <v>28</v>
      </c>
      <c r="Q168" s="1">
        <f t="shared" si="15"/>
        <v>0</v>
      </c>
      <c r="R168" s="1" t="s">
        <v>442</v>
      </c>
      <c r="S168" s="1">
        <f t="shared" si="16"/>
        <v>-95230</v>
      </c>
      <c r="T168" s="1">
        <v>-343231</v>
      </c>
      <c r="U168" s="1">
        <v>0</v>
      </c>
      <c r="V168" s="1">
        <v>0</v>
      </c>
      <c r="W168" s="1" t="s">
        <v>443</v>
      </c>
      <c r="X168" s="1">
        <f t="shared" si="17"/>
        <v>-2889396</v>
      </c>
      <c r="Y168" s="1" t="s">
        <v>444</v>
      </c>
      <c r="Z168" s="1">
        <f t="shared" si="18"/>
        <v>-1336461</v>
      </c>
      <c r="AA168" s="1">
        <v>-4664318</v>
      </c>
      <c r="AB168" s="1" t="s">
        <v>445</v>
      </c>
      <c r="AC168" s="1">
        <f t="shared" si="19"/>
        <v>792131</v>
      </c>
      <c r="AD168" s="1" t="s">
        <v>446</v>
      </c>
      <c r="AE168" s="1">
        <f t="shared" si="20"/>
        <v>185534</v>
      </c>
    </row>
    <row r="169" spans="1:31" x14ac:dyDescent="0.35">
      <c r="A169" s="1" t="s">
        <v>455</v>
      </c>
      <c r="B169" s="1" t="s">
        <v>456</v>
      </c>
      <c r="C169" s="1" t="s">
        <v>61</v>
      </c>
      <c r="D169" s="1">
        <v>31</v>
      </c>
      <c r="E169" s="2" t="s">
        <v>56</v>
      </c>
      <c r="F169" s="1">
        <f t="shared" si="14"/>
        <v>0</v>
      </c>
      <c r="G169" s="1">
        <v>11080</v>
      </c>
      <c r="H169" s="1">
        <v>33696000</v>
      </c>
      <c r="I169" s="1">
        <v>15877000</v>
      </c>
      <c r="J169" s="1">
        <v>8232000</v>
      </c>
      <c r="K169" s="1">
        <v>92000</v>
      </c>
      <c r="L169" s="1">
        <v>7624000</v>
      </c>
      <c r="M169" s="1">
        <v>50273000</v>
      </c>
      <c r="N169" s="1">
        <v>0</v>
      </c>
      <c r="O169" s="1">
        <v>3</v>
      </c>
      <c r="P169" s="1" t="s">
        <v>457</v>
      </c>
      <c r="Q169" s="1">
        <f t="shared" si="15"/>
        <v>3108000</v>
      </c>
      <c r="R169" s="1" t="s">
        <v>458</v>
      </c>
      <c r="S169" s="1">
        <f t="shared" si="16"/>
        <v>-21324</v>
      </c>
      <c r="T169" s="1">
        <v>-10831</v>
      </c>
      <c r="U169" s="1">
        <v>0</v>
      </c>
      <c r="V169" s="1">
        <v>0</v>
      </c>
      <c r="W169" s="1" t="s">
        <v>459</v>
      </c>
      <c r="X169" s="1">
        <f t="shared" si="17"/>
        <v>-2445175</v>
      </c>
      <c r="Y169" s="1" t="s">
        <v>460</v>
      </c>
      <c r="Z169" s="1">
        <f t="shared" si="18"/>
        <v>-594077</v>
      </c>
      <c r="AA169" s="1">
        <v>-3071407</v>
      </c>
      <c r="AB169" s="1" t="s">
        <v>461</v>
      </c>
      <c r="AC169" s="1">
        <f t="shared" si="19"/>
        <v>917388</v>
      </c>
      <c r="AD169" s="1" t="s">
        <v>462</v>
      </c>
      <c r="AE169" s="1">
        <f t="shared" si="20"/>
        <v>427311</v>
      </c>
    </row>
    <row r="170" spans="1:31" x14ac:dyDescent="0.35">
      <c r="A170" s="1" t="s">
        <v>463</v>
      </c>
      <c r="B170" s="1" t="s">
        <v>464</v>
      </c>
      <c r="C170" s="1" t="s">
        <v>61</v>
      </c>
      <c r="D170" s="1">
        <v>13</v>
      </c>
      <c r="E170" s="2" t="s">
        <v>56</v>
      </c>
      <c r="F170" s="1">
        <f t="shared" si="14"/>
        <v>0</v>
      </c>
      <c r="G170" s="1">
        <v>0</v>
      </c>
      <c r="H170" s="1">
        <v>9800482</v>
      </c>
      <c r="I170" s="1">
        <v>7998679</v>
      </c>
      <c r="J170" s="1">
        <v>6759519</v>
      </c>
      <c r="K170" s="1">
        <v>0</v>
      </c>
      <c r="L170" s="1">
        <v>0</v>
      </c>
      <c r="M170" s="1">
        <v>24346192</v>
      </c>
      <c r="N170" s="1">
        <v>212488</v>
      </c>
      <c r="O170" s="1">
        <v>3</v>
      </c>
      <c r="P170" s="1" t="s">
        <v>465</v>
      </c>
      <c r="Q170" s="1">
        <f t="shared" si="15"/>
        <v>2444972</v>
      </c>
      <c r="R170" s="1" t="s">
        <v>466</v>
      </c>
      <c r="S170" s="1">
        <f t="shared" si="16"/>
        <v>-307764</v>
      </c>
      <c r="T170" s="1">
        <v>-359980</v>
      </c>
      <c r="U170" s="1">
        <v>211418</v>
      </c>
      <c r="V170" s="1">
        <v>-77012</v>
      </c>
      <c r="W170" s="1" t="s">
        <v>467</v>
      </c>
      <c r="X170" s="1">
        <f t="shared" si="17"/>
        <v>-1532586</v>
      </c>
      <c r="Y170" s="1" t="s">
        <v>468</v>
      </c>
      <c r="Z170" s="1">
        <f t="shared" si="18"/>
        <v>-472772</v>
      </c>
      <c r="AA170" s="1">
        <v>-2538696</v>
      </c>
      <c r="AB170" s="1" t="s">
        <v>469</v>
      </c>
      <c r="AC170" s="1">
        <f t="shared" si="19"/>
        <v>459850</v>
      </c>
      <c r="AD170" s="1" t="s">
        <v>470</v>
      </c>
      <c r="AE170" s="1">
        <f t="shared" si="20"/>
        <v>204006</v>
      </c>
    </row>
    <row r="171" spans="1:31" x14ac:dyDescent="0.35">
      <c r="A171" s="1" t="s">
        <v>658</v>
      </c>
      <c r="B171" s="1" t="s">
        <v>659</v>
      </c>
      <c r="C171" s="1" t="s">
        <v>61</v>
      </c>
      <c r="D171" s="1">
        <v>10</v>
      </c>
      <c r="E171" s="2" t="s">
        <v>28</v>
      </c>
      <c r="F171" s="1">
        <f t="shared" si="14"/>
        <v>0</v>
      </c>
      <c r="G171" s="1">
        <v>14532</v>
      </c>
      <c r="H171" s="1">
        <v>12984000</v>
      </c>
      <c r="I171" s="1">
        <v>6127000</v>
      </c>
      <c r="J171" s="1">
        <v>0</v>
      </c>
      <c r="K171" s="1">
        <v>5450000</v>
      </c>
      <c r="L171" s="1">
        <v>0</v>
      </c>
      <c r="M171" s="1">
        <v>23959000</v>
      </c>
      <c r="N171" s="1">
        <v>602000</v>
      </c>
      <c r="O171" s="1">
        <v>0</v>
      </c>
      <c r="P171" s="1" t="s">
        <v>28</v>
      </c>
      <c r="Q171" s="1">
        <f t="shared" si="15"/>
        <v>0</v>
      </c>
      <c r="R171" s="1" t="s">
        <v>660</v>
      </c>
      <c r="S171" s="1">
        <f t="shared" si="16"/>
        <v>-497106</v>
      </c>
      <c r="T171" s="1">
        <v>-115390</v>
      </c>
      <c r="U171" s="1">
        <v>-305086</v>
      </c>
      <c r="V171" s="1">
        <v>-300000</v>
      </c>
      <c r="W171" s="1" t="s">
        <v>661</v>
      </c>
      <c r="X171" s="1">
        <f t="shared" si="17"/>
        <v>-1804637</v>
      </c>
      <c r="Y171" s="1" t="s">
        <v>56</v>
      </c>
      <c r="Z171" s="1">
        <f t="shared" si="18"/>
        <v>0</v>
      </c>
      <c r="AA171" s="1">
        <v>-3022219</v>
      </c>
      <c r="AB171" s="1" t="s">
        <v>662</v>
      </c>
      <c r="AC171" s="1">
        <f t="shared" si="19"/>
        <v>2004017</v>
      </c>
      <c r="AD171" s="1" t="s">
        <v>663</v>
      </c>
      <c r="AE171" s="1">
        <f t="shared" si="20"/>
        <v>816063</v>
      </c>
    </row>
    <row r="172" spans="1:31" x14ac:dyDescent="0.35">
      <c r="A172" s="1" t="s">
        <v>664</v>
      </c>
      <c r="B172" s="1" t="s">
        <v>665</v>
      </c>
      <c r="C172" s="1" t="s">
        <v>61</v>
      </c>
      <c r="D172" s="1">
        <v>6</v>
      </c>
      <c r="E172" s="2" t="s">
        <v>28</v>
      </c>
      <c r="F172" s="1">
        <f t="shared" si="14"/>
        <v>0</v>
      </c>
      <c r="G172" s="1">
        <v>1482</v>
      </c>
      <c r="H172" s="1">
        <v>6226000</v>
      </c>
      <c r="I172" s="1">
        <v>5939000</v>
      </c>
      <c r="J172" s="1">
        <v>41523000</v>
      </c>
      <c r="K172" s="1">
        <v>4387000</v>
      </c>
      <c r="L172" s="1">
        <v>0</v>
      </c>
      <c r="M172" s="1">
        <v>58075000</v>
      </c>
      <c r="N172" s="1">
        <v>0</v>
      </c>
      <c r="O172" s="1">
        <v>1</v>
      </c>
      <c r="P172" s="1" t="s">
        <v>666</v>
      </c>
      <c r="Q172" s="1">
        <f t="shared" si="15"/>
        <v>862000</v>
      </c>
      <c r="R172" s="1" t="s">
        <v>56</v>
      </c>
      <c r="S172" s="1">
        <f t="shared" si="16"/>
        <v>0</v>
      </c>
      <c r="T172" s="1">
        <v>-3349</v>
      </c>
      <c r="U172" s="1">
        <v>-205978</v>
      </c>
      <c r="V172" s="1">
        <v>-5202</v>
      </c>
      <c r="W172" s="1" t="s">
        <v>56</v>
      </c>
      <c r="X172" s="1">
        <f t="shared" si="17"/>
        <v>0</v>
      </c>
      <c r="Y172" s="1" t="s">
        <v>56</v>
      </c>
      <c r="Z172" s="1">
        <f t="shared" si="18"/>
        <v>0</v>
      </c>
      <c r="AA172" s="1">
        <v>-214529</v>
      </c>
      <c r="AB172" s="1" t="s">
        <v>667</v>
      </c>
      <c r="AC172" s="1">
        <f t="shared" si="19"/>
        <v>1558051</v>
      </c>
      <c r="AD172" s="1" t="s">
        <v>668</v>
      </c>
      <c r="AE172" s="1">
        <f t="shared" si="20"/>
        <v>168588</v>
      </c>
    </row>
    <row r="173" spans="1:31" x14ac:dyDescent="0.35">
      <c r="A173" s="1" t="s">
        <v>701</v>
      </c>
      <c r="B173" s="1" t="s">
        <v>702</v>
      </c>
      <c r="C173" s="1" t="s">
        <v>61</v>
      </c>
      <c r="D173" s="1">
        <v>46</v>
      </c>
      <c r="E173" s="2" t="s">
        <v>28</v>
      </c>
      <c r="F173" s="1">
        <f t="shared" si="14"/>
        <v>0</v>
      </c>
      <c r="G173" s="1">
        <v>14189</v>
      </c>
      <c r="H173" s="1">
        <v>5018474</v>
      </c>
      <c r="I173" s="1">
        <v>3623912</v>
      </c>
      <c r="J173" s="1">
        <v>1593619</v>
      </c>
      <c r="K173" s="1">
        <v>178163</v>
      </c>
      <c r="L173" s="1">
        <v>0</v>
      </c>
      <c r="M173" s="1">
        <v>10414168</v>
      </c>
      <c r="N173" s="1">
        <v>0</v>
      </c>
      <c r="O173" s="1">
        <v>0</v>
      </c>
      <c r="P173" s="1" t="s">
        <v>28</v>
      </c>
      <c r="Q173" s="1">
        <f t="shared" si="15"/>
        <v>0</v>
      </c>
      <c r="R173" s="1" t="s">
        <v>703</v>
      </c>
      <c r="S173" s="1">
        <f t="shared" si="16"/>
        <v>-12651</v>
      </c>
      <c r="T173" s="1">
        <v>-581740</v>
      </c>
      <c r="U173" s="1">
        <v>-641682</v>
      </c>
      <c r="V173" s="1">
        <v>0</v>
      </c>
      <c r="W173" s="1" t="s">
        <v>56</v>
      </c>
      <c r="X173" s="1">
        <f t="shared" si="17"/>
        <v>0</v>
      </c>
      <c r="Y173" s="1" t="s">
        <v>56</v>
      </c>
      <c r="Z173" s="1">
        <f t="shared" si="18"/>
        <v>0</v>
      </c>
      <c r="AA173" s="1">
        <v>-1236073</v>
      </c>
      <c r="AB173" s="1" t="s">
        <v>704</v>
      </c>
      <c r="AC173" s="1">
        <f t="shared" si="19"/>
        <v>253122</v>
      </c>
      <c r="AD173" s="1" t="s">
        <v>705</v>
      </c>
      <c r="AE173" s="1">
        <f t="shared" si="20"/>
        <v>59750</v>
      </c>
    </row>
    <row r="174" spans="1:31" x14ac:dyDescent="0.35">
      <c r="A174" s="1" t="s">
        <v>740</v>
      </c>
      <c r="B174" s="1" t="s">
        <v>741</v>
      </c>
      <c r="C174" s="1" t="s">
        <v>61</v>
      </c>
      <c r="D174" s="1">
        <v>41</v>
      </c>
      <c r="E174" s="2" t="s">
        <v>28</v>
      </c>
      <c r="F174" s="1">
        <f t="shared" si="14"/>
        <v>0</v>
      </c>
      <c r="G174" s="1">
        <v>9449</v>
      </c>
      <c r="H174" s="1">
        <v>525532</v>
      </c>
      <c r="I174" s="1">
        <v>8858159</v>
      </c>
      <c r="J174" s="1">
        <v>3148587</v>
      </c>
      <c r="K174" s="1">
        <v>0</v>
      </c>
      <c r="L174" s="1">
        <v>0</v>
      </c>
      <c r="M174" s="1">
        <v>12359278</v>
      </c>
      <c r="N174" s="1">
        <v>173000</v>
      </c>
      <c r="O174" s="1">
        <v>1</v>
      </c>
      <c r="P174" s="1" t="s">
        <v>742</v>
      </c>
      <c r="Q174" s="1">
        <f t="shared" si="15"/>
        <v>173000</v>
      </c>
      <c r="R174" s="1" t="s">
        <v>56</v>
      </c>
      <c r="S174" s="1">
        <f t="shared" si="16"/>
        <v>0</v>
      </c>
      <c r="T174" s="1">
        <v>-312572</v>
      </c>
      <c r="U174" s="1">
        <v>-2842949</v>
      </c>
      <c r="V174" s="1">
        <v>-166832</v>
      </c>
      <c r="W174" s="1" t="s">
        <v>743</v>
      </c>
      <c r="X174" s="1">
        <f t="shared" si="17"/>
        <v>-1474509</v>
      </c>
      <c r="Y174" s="1" t="s">
        <v>744</v>
      </c>
      <c r="Z174" s="1">
        <f t="shared" si="18"/>
        <v>-306595</v>
      </c>
      <c r="AA174" s="1">
        <v>-5103457</v>
      </c>
      <c r="AB174" s="1" t="s">
        <v>745</v>
      </c>
      <c r="AC174" s="1">
        <f t="shared" si="19"/>
        <v>330040</v>
      </c>
      <c r="AD174" s="1" t="s">
        <v>746</v>
      </c>
      <c r="AE174" s="1">
        <f t="shared" si="20"/>
        <v>1559782</v>
      </c>
    </row>
    <row r="175" spans="1:31" x14ac:dyDescent="0.35">
      <c r="A175" s="1" t="s">
        <v>747</v>
      </c>
      <c r="B175" s="1" t="s">
        <v>748</v>
      </c>
      <c r="C175" s="1" t="s">
        <v>61</v>
      </c>
      <c r="D175" s="1">
        <v>1</v>
      </c>
      <c r="E175" s="2" t="s">
        <v>28</v>
      </c>
      <c r="F175" s="1">
        <f t="shared" si="14"/>
        <v>0</v>
      </c>
      <c r="G175" s="1">
        <v>1670</v>
      </c>
      <c r="H175" s="1">
        <v>2230000</v>
      </c>
      <c r="I175" s="1">
        <v>1832000</v>
      </c>
      <c r="J175" s="1">
        <v>0</v>
      </c>
      <c r="K175" s="1">
        <v>0</v>
      </c>
      <c r="L175" s="1">
        <v>0</v>
      </c>
      <c r="M175" s="1">
        <v>4062000</v>
      </c>
      <c r="N175" s="1">
        <v>0</v>
      </c>
      <c r="O175" s="1">
        <v>0</v>
      </c>
      <c r="P175" s="1" t="s">
        <v>28</v>
      </c>
      <c r="Q175" s="1">
        <f t="shared" si="15"/>
        <v>0</v>
      </c>
      <c r="R175" s="1" t="s">
        <v>749</v>
      </c>
      <c r="S175" s="1">
        <f t="shared" si="16"/>
        <v>-6900</v>
      </c>
      <c r="T175" s="1">
        <v>0</v>
      </c>
      <c r="U175" s="1">
        <v>0</v>
      </c>
      <c r="V175" s="1">
        <v>0</v>
      </c>
      <c r="W175" s="1" t="s">
        <v>750</v>
      </c>
      <c r="X175" s="1">
        <f t="shared" si="17"/>
        <v>-142936</v>
      </c>
      <c r="Y175" s="1" t="s">
        <v>751</v>
      </c>
      <c r="Z175" s="1">
        <f t="shared" si="18"/>
        <v>-20531</v>
      </c>
      <c r="AA175" s="1">
        <v>-170367</v>
      </c>
      <c r="AB175" s="1" t="s">
        <v>752</v>
      </c>
      <c r="AC175" s="1">
        <f t="shared" si="19"/>
        <v>573227</v>
      </c>
      <c r="AD175" s="1" t="s">
        <v>753</v>
      </c>
      <c r="AE175" s="1">
        <f t="shared" si="20"/>
        <v>159660</v>
      </c>
    </row>
    <row r="176" spans="1:31" x14ac:dyDescent="0.35">
      <c r="A176" s="1" t="s">
        <v>905</v>
      </c>
      <c r="B176" s="1" t="s">
        <v>906</v>
      </c>
      <c r="C176" s="1" t="s">
        <v>61</v>
      </c>
      <c r="D176" s="1">
        <v>29</v>
      </c>
      <c r="E176" s="2" t="s">
        <v>28</v>
      </c>
      <c r="F176" s="1">
        <f t="shared" si="14"/>
        <v>0</v>
      </c>
      <c r="G176" s="1">
        <v>17976</v>
      </c>
      <c r="H176" s="1">
        <v>2254000</v>
      </c>
      <c r="I176" s="1">
        <v>36560000</v>
      </c>
      <c r="J176" s="1">
        <v>11325000</v>
      </c>
      <c r="K176" s="1">
        <v>29899000</v>
      </c>
      <c r="L176" s="1">
        <v>10433000</v>
      </c>
      <c r="M176" s="1">
        <v>47249000</v>
      </c>
      <c r="N176" s="1">
        <v>22356000</v>
      </c>
      <c r="O176" s="1">
        <v>0</v>
      </c>
      <c r="P176" s="1" t="s">
        <v>28</v>
      </c>
      <c r="Q176" s="1">
        <f t="shared" si="15"/>
        <v>0</v>
      </c>
      <c r="R176" s="1" t="s">
        <v>907</v>
      </c>
      <c r="S176" s="1">
        <f t="shared" si="16"/>
        <v>-68886</v>
      </c>
      <c r="T176" s="1">
        <v>-4738614</v>
      </c>
      <c r="U176" s="1">
        <v>-479300</v>
      </c>
      <c r="V176" s="1">
        <v>0</v>
      </c>
      <c r="W176" s="1" t="s">
        <v>908</v>
      </c>
      <c r="X176" s="1">
        <f t="shared" si="17"/>
        <v>-2896699</v>
      </c>
      <c r="Y176" s="1" t="s">
        <v>56</v>
      </c>
      <c r="Z176" s="1">
        <f t="shared" si="18"/>
        <v>0</v>
      </c>
      <c r="AA176" s="1">
        <v>-8183499</v>
      </c>
      <c r="AB176" s="1" t="s">
        <v>909</v>
      </c>
      <c r="AC176" s="1">
        <f t="shared" si="19"/>
        <v>944008</v>
      </c>
      <c r="AD176" s="1" t="s">
        <v>910</v>
      </c>
      <c r="AE176" s="1">
        <f t="shared" si="20"/>
        <v>622600</v>
      </c>
    </row>
    <row r="177" spans="1:31" x14ac:dyDescent="0.35">
      <c r="A177" s="1" t="s">
        <v>911</v>
      </c>
      <c r="B177" s="1" t="s">
        <v>912</v>
      </c>
      <c r="C177" s="1" t="s">
        <v>61</v>
      </c>
      <c r="D177" s="1">
        <v>21</v>
      </c>
      <c r="E177" s="2" t="s">
        <v>28</v>
      </c>
      <c r="F177" s="1">
        <f t="shared" si="14"/>
        <v>0</v>
      </c>
      <c r="G177" s="1">
        <v>1350</v>
      </c>
      <c r="H177" s="1">
        <v>14111403</v>
      </c>
      <c r="I177" s="1">
        <v>3953071</v>
      </c>
      <c r="J177" s="1">
        <v>711320</v>
      </c>
      <c r="K177" s="1">
        <v>1770777</v>
      </c>
      <c r="L177" s="1">
        <v>0</v>
      </c>
      <c r="M177" s="1">
        <v>20506773</v>
      </c>
      <c r="N177" s="1">
        <v>39798</v>
      </c>
      <c r="O177" s="1">
        <v>0</v>
      </c>
      <c r="P177" s="1" t="s">
        <v>28</v>
      </c>
      <c r="Q177" s="1">
        <f t="shared" si="15"/>
        <v>0</v>
      </c>
      <c r="R177" s="1" t="s">
        <v>913</v>
      </c>
      <c r="S177" s="1">
        <f t="shared" si="16"/>
        <v>-591903</v>
      </c>
      <c r="T177" s="1">
        <v>-184927</v>
      </c>
      <c r="U177" s="1">
        <v>-829</v>
      </c>
      <c r="V177" s="1">
        <v>0</v>
      </c>
      <c r="W177" s="1" t="s">
        <v>914</v>
      </c>
      <c r="X177" s="1">
        <f t="shared" si="17"/>
        <v>-1756712</v>
      </c>
      <c r="Y177" s="1" t="s">
        <v>915</v>
      </c>
      <c r="Z177" s="1">
        <f t="shared" si="18"/>
        <v>-506346</v>
      </c>
      <c r="AA177" s="1">
        <v>-3040717</v>
      </c>
      <c r="AB177" s="1" t="s">
        <v>916</v>
      </c>
      <c r="AC177" s="1">
        <f t="shared" si="19"/>
        <v>690551</v>
      </c>
      <c r="AD177" s="1" t="s">
        <v>917</v>
      </c>
      <c r="AE177" s="1">
        <f t="shared" si="20"/>
        <v>74413</v>
      </c>
    </row>
    <row r="178" spans="1:31" x14ac:dyDescent="0.35">
      <c r="A178" s="1" t="s">
        <v>918</v>
      </c>
      <c r="B178" s="1" t="s">
        <v>919</v>
      </c>
      <c r="C178" s="1" t="s">
        <v>61</v>
      </c>
      <c r="D178" s="1">
        <v>4</v>
      </c>
      <c r="E178" s="2" t="s">
        <v>920</v>
      </c>
      <c r="F178" s="1">
        <f t="shared" si="14"/>
        <v>10500</v>
      </c>
      <c r="G178" s="1">
        <v>8288</v>
      </c>
      <c r="H178" s="1">
        <v>9442000</v>
      </c>
      <c r="I178" s="1">
        <v>1355000</v>
      </c>
      <c r="J178" s="1">
        <v>4178000</v>
      </c>
      <c r="K178" s="1">
        <v>2900000</v>
      </c>
      <c r="L178" s="1">
        <v>0</v>
      </c>
      <c r="M178" s="1">
        <v>17875000</v>
      </c>
      <c r="N178" s="1">
        <v>0</v>
      </c>
      <c r="O178" s="1">
        <v>0</v>
      </c>
      <c r="P178" s="1" t="s">
        <v>28</v>
      </c>
      <c r="Q178" s="1">
        <f t="shared" si="15"/>
        <v>0</v>
      </c>
      <c r="R178" s="1" t="s">
        <v>921</v>
      </c>
      <c r="S178" s="1">
        <f t="shared" si="16"/>
        <v>-35000</v>
      </c>
      <c r="T178" s="1">
        <v>-160714</v>
      </c>
      <c r="U178" s="1">
        <v>-8609000</v>
      </c>
      <c r="V178" s="1">
        <v>0</v>
      </c>
      <c r="W178" s="1" t="s">
        <v>922</v>
      </c>
      <c r="X178" s="1">
        <f t="shared" si="17"/>
        <v>-2256882</v>
      </c>
      <c r="Y178" s="1" t="s">
        <v>923</v>
      </c>
      <c r="Z178" s="1">
        <f t="shared" si="18"/>
        <v>-169766</v>
      </c>
      <c r="AA178" s="1">
        <v>-11231362</v>
      </c>
      <c r="AB178" s="1" t="s">
        <v>924</v>
      </c>
      <c r="AC178" s="1">
        <f t="shared" si="19"/>
        <v>1584317</v>
      </c>
      <c r="AD178" s="1" t="s">
        <v>925</v>
      </c>
      <c r="AE178" s="1">
        <f t="shared" si="20"/>
        <v>401512</v>
      </c>
    </row>
    <row r="179" spans="1:31" x14ac:dyDescent="0.35">
      <c r="A179" s="1" t="s">
        <v>975</v>
      </c>
      <c r="B179" s="1" t="s">
        <v>976</v>
      </c>
      <c r="C179" s="1" t="s">
        <v>61</v>
      </c>
      <c r="D179" s="1">
        <v>18</v>
      </c>
      <c r="E179" s="2" t="s">
        <v>28</v>
      </c>
      <c r="F179" s="1">
        <f t="shared" si="14"/>
        <v>0</v>
      </c>
      <c r="G179" s="1">
        <v>5308</v>
      </c>
      <c r="H179" s="1">
        <v>8207000</v>
      </c>
      <c r="I179" s="1">
        <v>1961000</v>
      </c>
      <c r="J179" s="1">
        <v>4901000</v>
      </c>
      <c r="K179" s="1">
        <v>0</v>
      </c>
      <c r="L179" s="1">
        <v>0</v>
      </c>
      <c r="M179" s="1">
        <v>15069000</v>
      </c>
      <c r="N179" s="1">
        <v>0</v>
      </c>
      <c r="O179" s="1">
        <v>0</v>
      </c>
      <c r="P179" s="1" t="s">
        <v>28</v>
      </c>
      <c r="Q179" s="1">
        <f t="shared" si="15"/>
        <v>0</v>
      </c>
      <c r="R179" s="1" t="s">
        <v>977</v>
      </c>
      <c r="S179" s="1">
        <f t="shared" si="16"/>
        <v>-797063</v>
      </c>
      <c r="T179" s="1">
        <v>0</v>
      </c>
      <c r="U179" s="1">
        <v>0</v>
      </c>
      <c r="V179" s="1">
        <v>0</v>
      </c>
      <c r="W179" s="1" t="s">
        <v>978</v>
      </c>
      <c r="X179" s="1">
        <f t="shared" si="17"/>
        <v>-1962140</v>
      </c>
      <c r="Y179" s="1" t="s">
        <v>979</v>
      </c>
      <c r="Z179" s="1">
        <f t="shared" si="18"/>
        <v>-1971033</v>
      </c>
      <c r="AA179" s="1">
        <v>-4730236</v>
      </c>
      <c r="AB179" s="1" t="s">
        <v>980</v>
      </c>
      <c r="AC179" s="1">
        <f t="shared" si="19"/>
        <v>3100042</v>
      </c>
      <c r="AD179" s="1" t="s">
        <v>981</v>
      </c>
      <c r="AE179" s="1">
        <f t="shared" si="20"/>
        <v>757170</v>
      </c>
    </row>
    <row r="180" spans="1:31" x14ac:dyDescent="0.35">
      <c r="A180" s="1" t="s">
        <v>990</v>
      </c>
      <c r="B180" s="1" t="s">
        <v>991</v>
      </c>
      <c r="C180" s="1" t="s">
        <v>61</v>
      </c>
      <c r="D180" s="1">
        <v>122</v>
      </c>
      <c r="E180" s="2" t="s">
        <v>28</v>
      </c>
      <c r="F180" s="1">
        <f t="shared" si="14"/>
        <v>0</v>
      </c>
      <c r="G180" s="1">
        <v>13640</v>
      </c>
      <c r="H180" s="1">
        <v>0</v>
      </c>
      <c r="I180" s="1">
        <v>4383789</v>
      </c>
      <c r="J180" s="1">
        <v>3956468</v>
      </c>
      <c r="K180" s="1">
        <v>906537</v>
      </c>
      <c r="L180" s="1">
        <v>0</v>
      </c>
      <c r="M180" s="1">
        <v>9246794</v>
      </c>
      <c r="N180" s="1">
        <v>0</v>
      </c>
      <c r="O180" s="1">
        <v>1</v>
      </c>
      <c r="P180" s="1" t="s">
        <v>992</v>
      </c>
      <c r="Q180" s="1">
        <f t="shared" si="15"/>
        <v>72815</v>
      </c>
      <c r="R180" s="1" t="s">
        <v>56</v>
      </c>
      <c r="S180" s="1">
        <f t="shared" si="16"/>
        <v>0</v>
      </c>
      <c r="T180" s="1">
        <v>0</v>
      </c>
      <c r="U180" s="1">
        <v>0</v>
      </c>
      <c r="V180" s="1">
        <v>0</v>
      </c>
      <c r="W180" s="1" t="s">
        <v>993</v>
      </c>
      <c r="X180" s="1">
        <f t="shared" si="17"/>
        <v>-53876</v>
      </c>
      <c r="Y180" s="1" t="s">
        <v>56</v>
      </c>
      <c r="Z180" s="1">
        <f t="shared" si="18"/>
        <v>0</v>
      </c>
      <c r="AA180" s="1">
        <v>-53876</v>
      </c>
      <c r="AB180" s="1" t="s">
        <v>56</v>
      </c>
      <c r="AC180" s="1">
        <f t="shared" si="19"/>
        <v>0</v>
      </c>
      <c r="AD180" s="1" t="s">
        <v>994</v>
      </c>
      <c r="AE180" s="1">
        <f t="shared" si="20"/>
        <v>197531</v>
      </c>
    </row>
    <row r="181" spans="1:31" x14ac:dyDescent="0.35">
      <c r="A181" s="1" t="s">
        <v>1023</v>
      </c>
      <c r="B181" s="1" t="s">
        <v>1024</v>
      </c>
      <c r="C181" s="1" t="s">
        <v>61</v>
      </c>
      <c r="D181" s="1">
        <v>27</v>
      </c>
      <c r="E181" s="2" t="s">
        <v>28</v>
      </c>
      <c r="F181" s="1">
        <f t="shared" si="14"/>
        <v>0</v>
      </c>
      <c r="G181" s="1">
        <v>8764</v>
      </c>
      <c r="H181" s="1">
        <v>29368358</v>
      </c>
      <c r="I181" s="1">
        <v>7003736</v>
      </c>
      <c r="J181" s="1">
        <v>923093</v>
      </c>
      <c r="K181" s="1">
        <v>0</v>
      </c>
      <c r="L181" s="1">
        <v>0</v>
      </c>
      <c r="M181" s="1">
        <v>37295187</v>
      </c>
      <c r="N181" s="1">
        <v>0</v>
      </c>
      <c r="O181" s="1">
        <v>1</v>
      </c>
      <c r="P181" s="1" t="s">
        <v>1025</v>
      </c>
      <c r="Q181" s="1">
        <f t="shared" si="15"/>
        <v>485891</v>
      </c>
      <c r="R181" s="1" t="s">
        <v>1026</v>
      </c>
      <c r="S181" s="1">
        <f t="shared" si="16"/>
        <v>-113120</v>
      </c>
      <c r="T181" s="1">
        <v>0</v>
      </c>
      <c r="U181" s="1">
        <v>0</v>
      </c>
      <c r="V181" s="1">
        <v>0</v>
      </c>
      <c r="W181" s="1" t="s">
        <v>1027</v>
      </c>
      <c r="X181" s="1">
        <f t="shared" si="17"/>
        <v>-1672356</v>
      </c>
      <c r="Y181" s="1" t="s">
        <v>1028</v>
      </c>
      <c r="Z181" s="1">
        <f t="shared" si="18"/>
        <v>-471801</v>
      </c>
      <c r="AA181" s="1">
        <v>-2257277</v>
      </c>
      <c r="AB181" s="1" t="s">
        <v>1029</v>
      </c>
      <c r="AC181" s="1">
        <f t="shared" si="19"/>
        <v>1691851</v>
      </c>
      <c r="AD181" s="1" t="s">
        <v>1030</v>
      </c>
      <c r="AE181" s="1">
        <f t="shared" si="20"/>
        <v>1761785</v>
      </c>
    </row>
    <row r="182" spans="1:31" x14ac:dyDescent="0.35">
      <c r="A182" s="1" t="s">
        <v>1079</v>
      </c>
      <c r="B182" s="1" t="s">
        <v>1080</v>
      </c>
      <c r="C182" s="1" t="s">
        <v>61</v>
      </c>
      <c r="D182" s="1">
        <v>42</v>
      </c>
      <c r="E182" s="2" t="s">
        <v>28</v>
      </c>
      <c r="F182" s="1">
        <f t="shared" si="14"/>
        <v>0</v>
      </c>
      <c r="G182" s="1">
        <v>0</v>
      </c>
      <c r="H182" s="1">
        <v>0</v>
      </c>
      <c r="I182" s="1">
        <v>2320825</v>
      </c>
      <c r="J182" s="1">
        <v>460472</v>
      </c>
      <c r="K182" s="1">
        <v>94077</v>
      </c>
      <c r="L182" s="1">
        <v>0</v>
      </c>
      <c r="M182" s="1">
        <v>2853162</v>
      </c>
      <c r="N182" s="1">
        <v>22212</v>
      </c>
      <c r="O182" s="1">
        <v>6</v>
      </c>
      <c r="P182" s="1" t="s">
        <v>1081</v>
      </c>
      <c r="Q182" s="1">
        <f t="shared" si="15"/>
        <v>536385</v>
      </c>
      <c r="R182" s="1" t="s">
        <v>56</v>
      </c>
      <c r="S182" s="1">
        <f t="shared" si="16"/>
        <v>0</v>
      </c>
      <c r="T182" s="1">
        <v>-143623</v>
      </c>
      <c r="U182" s="1">
        <v>-3334441</v>
      </c>
      <c r="V182" s="1">
        <v>-306413</v>
      </c>
      <c r="W182" s="1" t="s">
        <v>1082</v>
      </c>
      <c r="X182" s="1">
        <f t="shared" si="17"/>
        <v>-139695</v>
      </c>
      <c r="Y182" s="1" t="s">
        <v>56</v>
      </c>
      <c r="Z182" s="1">
        <f t="shared" si="18"/>
        <v>0</v>
      </c>
      <c r="AA182" s="1">
        <v>-3924172</v>
      </c>
      <c r="AB182" s="1" t="s">
        <v>1083</v>
      </c>
      <c r="AC182" s="1">
        <f t="shared" si="19"/>
        <v>67690</v>
      </c>
      <c r="AD182" s="1" t="s">
        <v>1084</v>
      </c>
      <c r="AE182" s="1">
        <f t="shared" si="20"/>
        <v>63296</v>
      </c>
    </row>
    <row r="183" spans="1:31" x14ac:dyDescent="0.35">
      <c r="A183" s="1" t="s">
        <v>1101</v>
      </c>
      <c r="B183" s="1" t="s">
        <v>1102</v>
      </c>
      <c r="C183" s="1" t="s">
        <v>61</v>
      </c>
      <c r="D183" s="1">
        <v>89</v>
      </c>
      <c r="E183" s="2" t="s">
        <v>28</v>
      </c>
      <c r="F183" s="1">
        <f t="shared" si="14"/>
        <v>0</v>
      </c>
      <c r="G183" s="1">
        <v>3388</v>
      </c>
      <c r="H183" s="1">
        <v>0</v>
      </c>
      <c r="I183" s="1">
        <v>6414523</v>
      </c>
      <c r="J183" s="1">
        <v>0</v>
      </c>
      <c r="K183" s="1">
        <v>1618290</v>
      </c>
      <c r="L183" s="1">
        <v>0</v>
      </c>
      <c r="M183" s="1">
        <v>8032813</v>
      </c>
      <c r="N183" s="1">
        <v>0</v>
      </c>
      <c r="O183" s="1">
        <v>0</v>
      </c>
      <c r="P183" s="1" t="s">
        <v>28</v>
      </c>
      <c r="Q183" s="1">
        <f t="shared" si="15"/>
        <v>0</v>
      </c>
      <c r="R183" s="1" t="s">
        <v>56</v>
      </c>
      <c r="S183" s="1">
        <f t="shared" si="16"/>
        <v>0</v>
      </c>
      <c r="T183" s="1">
        <v>-163082</v>
      </c>
      <c r="U183" s="1">
        <v>-932932</v>
      </c>
      <c r="V183" s="1">
        <v>-211926</v>
      </c>
      <c r="W183" s="1" t="s">
        <v>1103</v>
      </c>
      <c r="X183" s="1">
        <f t="shared" si="17"/>
        <v>-500</v>
      </c>
      <c r="Y183" s="1" t="s">
        <v>56</v>
      </c>
      <c r="Z183" s="1">
        <f t="shared" si="18"/>
        <v>0</v>
      </c>
      <c r="AA183" s="1">
        <v>-1308440</v>
      </c>
      <c r="AB183" s="1" t="s">
        <v>56</v>
      </c>
      <c r="AC183" s="1">
        <f t="shared" si="19"/>
        <v>0</v>
      </c>
      <c r="AD183" s="1" t="s">
        <v>1104</v>
      </c>
      <c r="AE183" s="1">
        <f t="shared" si="20"/>
        <v>227961</v>
      </c>
    </row>
    <row r="184" spans="1:31" x14ac:dyDescent="0.35">
      <c r="A184" s="1" t="s">
        <v>1132</v>
      </c>
      <c r="B184" s="1" t="s">
        <v>1133</v>
      </c>
      <c r="C184" s="1" t="s">
        <v>61</v>
      </c>
      <c r="D184" s="1">
        <v>30</v>
      </c>
      <c r="E184" s="2" t="s">
        <v>1134</v>
      </c>
      <c r="F184" s="1">
        <f t="shared" si="14"/>
        <v>37336</v>
      </c>
      <c r="G184" s="1">
        <v>1143</v>
      </c>
      <c r="H184" s="1">
        <v>18240000</v>
      </c>
      <c r="I184" s="1">
        <v>10639509</v>
      </c>
      <c r="J184" s="1">
        <v>6705141</v>
      </c>
      <c r="K184" s="1">
        <v>1684945</v>
      </c>
      <c r="L184" s="1">
        <v>0</v>
      </c>
      <c r="M184" s="1">
        <v>37269595</v>
      </c>
      <c r="N184" s="1">
        <v>0</v>
      </c>
      <c r="O184" s="1">
        <v>0</v>
      </c>
      <c r="P184" s="1" t="s">
        <v>28</v>
      </c>
      <c r="Q184" s="1">
        <f t="shared" si="15"/>
        <v>0</v>
      </c>
      <c r="R184" s="1" t="s">
        <v>1135</v>
      </c>
      <c r="S184" s="1">
        <f t="shared" si="16"/>
        <v>-333363</v>
      </c>
      <c r="T184" s="1">
        <v>-4575092</v>
      </c>
      <c r="U184" s="1">
        <v>-1973080</v>
      </c>
      <c r="V184" s="1">
        <v>-191503</v>
      </c>
      <c r="W184" s="1" t="s">
        <v>1136</v>
      </c>
      <c r="X184" s="1">
        <f t="shared" si="17"/>
        <v>-876897</v>
      </c>
      <c r="Y184" s="1" t="s">
        <v>1137</v>
      </c>
      <c r="Z184" s="1">
        <f t="shared" si="18"/>
        <v>-122633</v>
      </c>
      <c r="AA184" s="1">
        <v>-8072568</v>
      </c>
      <c r="AB184" s="1" t="s">
        <v>1138</v>
      </c>
      <c r="AC184" s="1">
        <f t="shared" si="19"/>
        <v>1272265</v>
      </c>
      <c r="AD184" s="1" t="s">
        <v>1139</v>
      </c>
      <c r="AE184" s="1">
        <f t="shared" si="20"/>
        <v>951526</v>
      </c>
    </row>
    <row r="185" spans="1:31" x14ac:dyDescent="0.35">
      <c r="A185" s="1" t="s">
        <v>1191</v>
      </c>
      <c r="B185" s="1" t="s">
        <v>1192</v>
      </c>
      <c r="C185" s="1" t="s">
        <v>61</v>
      </c>
      <c r="D185" s="1">
        <v>15</v>
      </c>
      <c r="E185" s="2" t="s">
        <v>28</v>
      </c>
      <c r="F185" s="1">
        <f t="shared" si="14"/>
        <v>0</v>
      </c>
      <c r="G185" s="1">
        <v>0</v>
      </c>
      <c r="H185" s="1">
        <v>17454707</v>
      </c>
      <c r="I185" s="1">
        <v>6955269</v>
      </c>
      <c r="J185" s="1">
        <v>2136160</v>
      </c>
      <c r="K185" s="1">
        <v>8628247</v>
      </c>
      <c r="L185" s="1">
        <v>0</v>
      </c>
      <c r="M185" s="1">
        <v>35174383</v>
      </c>
      <c r="N185" s="1">
        <v>0</v>
      </c>
      <c r="O185" s="1">
        <v>1</v>
      </c>
      <c r="P185" s="1" t="s">
        <v>1193</v>
      </c>
      <c r="Q185" s="1">
        <f t="shared" si="15"/>
        <v>5231675</v>
      </c>
      <c r="R185" s="1" t="s">
        <v>1194</v>
      </c>
      <c r="S185" s="1">
        <f t="shared" si="16"/>
        <v>244216</v>
      </c>
      <c r="T185" s="1">
        <v>1871605</v>
      </c>
      <c r="U185" s="1">
        <v>202964</v>
      </c>
      <c r="V185" s="1">
        <v>0</v>
      </c>
      <c r="W185" s="1" t="s">
        <v>56</v>
      </c>
      <c r="X185" s="1">
        <f t="shared" si="17"/>
        <v>0</v>
      </c>
      <c r="Y185" s="1" t="s">
        <v>56</v>
      </c>
      <c r="Z185" s="1">
        <f t="shared" si="18"/>
        <v>0</v>
      </c>
      <c r="AA185" s="1">
        <v>2318785</v>
      </c>
      <c r="AB185" s="1" t="s">
        <v>56</v>
      </c>
      <c r="AC185" s="1">
        <f t="shared" si="19"/>
        <v>0</v>
      </c>
      <c r="AD185" s="1" t="s">
        <v>56</v>
      </c>
      <c r="AE185" s="1">
        <f t="shared" si="20"/>
        <v>0</v>
      </c>
    </row>
    <row r="186" spans="1:31" x14ac:dyDescent="0.35">
      <c r="A186" s="1" t="s">
        <v>1219</v>
      </c>
      <c r="B186" s="1" t="s">
        <v>1220</v>
      </c>
      <c r="C186" s="1" t="s">
        <v>61</v>
      </c>
      <c r="D186" s="1">
        <v>21</v>
      </c>
      <c r="E186" s="2" t="s">
        <v>28</v>
      </c>
      <c r="F186" s="1">
        <f t="shared" si="14"/>
        <v>0</v>
      </c>
      <c r="G186" s="1">
        <v>0</v>
      </c>
      <c r="H186" s="1">
        <v>10731973</v>
      </c>
      <c r="I186" s="1">
        <v>4990383</v>
      </c>
      <c r="J186" s="1">
        <v>0</v>
      </c>
      <c r="K186" s="1">
        <v>519658</v>
      </c>
      <c r="L186" s="1">
        <v>0</v>
      </c>
      <c r="M186" s="1">
        <v>16242014</v>
      </c>
      <c r="N186" s="1">
        <v>0</v>
      </c>
      <c r="O186" s="1">
        <v>1</v>
      </c>
      <c r="P186" s="1" t="s">
        <v>56</v>
      </c>
      <c r="Q186" s="1">
        <f t="shared" si="15"/>
        <v>0</v>
      </c>
      <c r="R186" s="1" t="s">
        <v>56</v>
      </c>
      <c r="S186" s="1">
        <f t="shared" si="16"/>
        <v>0</v>
      </c>
      <c r="T186" s="1">
        <v>0</v>
      </c>
      <c r="U186" s="1">
        <v>0</v>
      </c>
      <c r="V186" s="1">
        <v>0</v>
      </c>
      <c r="W186" s="1" t="s">
        <v>56</v>
      </c>
      <c r="X186" s="1">
        <f t="shared" si="17"/>
        <v>0</v>
      </c>
      <c r="Y186" s="1" t="s">
        <v>56</v>
      </c>
      <c r="Z186" s="1">
        <f t="shared" si="18"/>
        <v>0</v>
      </c>
      <c r="AA186" s="1">
        <v>0</v>
      </c>
      <c r="AB186" s="1" t="s">
        <v>56</v>
      </c>
      <c r="AC186" s="1">
        <f t="shared" si="19"/>
        <v>0</v>
      </c>
      <c r="AD186" s="1" t="s">
        <v>557</v>
      </c>
      <c r="AE186" s="1">
        <f t="shared" si="20"/>
        <v>60000</v>
      </c>
    </row>
    <row r="187" spans="1:31" x14ac:dyDescent="0.35">
      <c r="A187" s="1" t="s">
        <v>1221</v>
      </c>
      <c r="B187" s="1" t="s">
        <v>1222</v>
      </c>
      <c r="C187" s="1" t="s">
        <v>61</v>
      </c>
      <c r="D187" s="1">
        <v>33</v>
      </c>
      <c r="E187" s="2" t="s">
        <v>1223</v>
      </c>
      <c r="F187" s="1">
        <f t="shared" si="14"/>
        <v>13145</v>
      </c>
      <c r="G187" s="1">
        <v>16802</v>
      </c>
      <c r="H187" s="1">
        <v>6150000</v>
      </c>
      <c r="I187" s="1">
        <v>3647000</v>
      </c>
      <c r="J187" s="1">
        <v>63000</v>
      </c>
      <c r="K187" s="1">
        <v>0</v>
      </c>
      <c r="L187" s="1">
        <v>0</v>
      </c>
      <c r="M187" s="1">
        <v>9860000</v>
      </c>
      <c r="N187" s="1">
        <v>0</v>
      </c>
      <c r="O187" s="1">
        <v>0</v>
      </c>
      <c r="P187" s="1" t="s">
        <v>28</v>
      </c>
      <c r="Q187" s="1">
        <f t="shared" si="15"/>
        <v>0</v>
      </c>
      <c r="R187" s="1" t="s">
        <v>56</v>
      </c>
      <c r="S187" s="1">
        <f t="shared" si="16"/>
        <v>0</v>
      </c>
      <c r="T187" s="1">
        <v>-613049</v>
      </c>
      <c r="U187" s="1">
        <v>-1139704</v>
      </c>
      <c r="V187" s="1">
        <v>-286873</v>
      </c>
      <c r="W187" s="1" t="s">
        <v>56</v>
      </c>
      <c r="X187" s="1">
        <f t="shared" si="17"/>
        <v>0</v>
      </c>
      <c r="Y187" s="1" t="s">
        <v>56</v>
      </c>
      <c r="Z187" s="1">
        <f t="shared" si="18"/>
        <v>0</v>
      </c>
      <c r="AA187" s="1">
        <v>-2039626</v>
      </c>
      <c r="AB187" s="1" t="s">
        <v>1224</v>
      </c>
      <c r="AC187" s="1">
        <f t="shared" si="19"/>
        <v>129846</v>
      </c>
      <c r="AD187" s="1" t="s">
        <v>1225</v>
      </c>
      <c r="AE187" s="1">
        <f t="shared" si="20"/>
        <v>137071</v>
      </c>
    </row>
    <row r="188" spans="1:31" x14ac:dyDescent="0.35">
      <c r="A188" s="1" t="s">
        <v>1267</v>
      </c>
      <c r="B188" s="1" t="s">
        <v>1268</v>
      </c>
      <c r="C188" s="1" t="s">
        <v>61</v>
      </c>
      <c r="D188" s="1">
        <v>109</v>
      </c>
      <c r="E188" s="2" t="s">
        <v>28</v>
      </c>
      <c r="F188" s="1">
        <f t="shared" si="14"/>
        <v>0</v>
      </c>
      <c r="G188" s="1">
        <v>8240</v>
      </c>
      <c r="H188" s="1">
        <v>2268261</v>
      </c>
      <c r="I188" s="1">
        <v>423785</v>
      </c>
      <c r="J188" s="1">
        <v>654696</v>
      </c>
      <c r="K188" s="1">
        <v>323144</v>
      </c>
      <c r="L188" s="1">
        <v>0</v>
      </c>
      <c r="M188" s="1">
        <v>3669886</v>
      </c>
      <c r="N188" s="1">
        <v>0</v>
      </c>
      <c r="O188" s="1">
        <v>0</v>
      </c>
      <c r="P188" s="1" t="s">
        <v>28</v>
      </c>
      <c r="Q188" s="1">
        <f t="shared" si="15"/>
        <v>0</v>
      </c>
      <c r="R188" s="1" t="s">
        <v>28</v>
      </c>
      <c r="S188" s="1">
        <f t="shared" si="16"/>
        <v>0</v>
      </c>
      <c r="T188" s="1">
        <v>0</v>
      </c>
      <c r="U188" s="1">
        <v>0</v>
      </c>
      <c r="V188" s="1">
        <v>0</v>
      </c>
      <c r="W188" s="1" t="s">
        <v>28</v>
      </c>
      <c r="X188" s="1">
        <f t="shared" si="17"/>
        <v>0</v>
      </c>
      <c r="Y188" s="1" t="s">
        <v>28</v>
      </c>
      <c r="Z188" s="1">
        <f t="shared" si="18"/>
        <v>0</v>
      </c>
      <c r="AA188" s="1">
        <v>0</v>
      </c>
      <c r="AB188" s="1" t="s">
        <v>28</v>
      </c>
      <c r="AC188" s="1">
        <f t="shared" si="19"/>
        <v>0</v>
      </c>
      <c r="AD188" s="1" t="s">
        <v>28</v>
      </c>
      <c r="AE188" s="1">
        <f t="shared" si="20"/>
        <v>0</v>
      </c>
    </row>
    <row r="189" spans="1:31" x14ac:dyDescent="0.35">
      <c r="A189" s="1" t="s">
        <v>1269</v>
      </c>
      <c r="B189" s="1" t="s">
        <v>1270</v>
      </c>
      <c r="C189" s="1" t="s">
        <v>61</v>
      </c>
      <c r="D189" s="1">
        <v>118</v>
      </c>
      <c r="E189" s="2" t="s">
        <v>28</v>
      </c>
      <c r="F189" s="1">
        <f t="shared" si="14"/>
        <v>0</v>
      </c>
      <c r="G189" s="1">
        <v>6519</v>
      </c>
      <c r="H189" s="1">
        <v>0</v>
      </c>
      <c r="I189" s="1">
        <v>3942000</v>
      </c>
      <c r="J189" s="1">
        <v>407000</v>
      </c>
      <c r="K189" s="1">
        <v>355000</v>
      </c>
      <c r="L189" s="1">
        <v>4704000</v>
      </c>
      <c r="M189" s="1">
        <v>0</v>
      </c>
      <c r="N189" s="1">
        <v>0</v>
      </c>
      <c r="O189" s="1">
        <v>1</v>
      </c>
      <c r="P189" s="1" t="s">
        <v>1271</v>
      </c>
      <c r="Q189" s="1">
        <f t="shared" si="15"/>
        <v>340</v>
      </c>
      <c r="R189" s="1" t="s">
        <v>28</v>
      </c>
      <c r="S189" s="1">
        <f t="shared" si="16"/>
        <v>0</v>
      </c>
      <c r="T189" s="1">
        <v>-105079</v>
      </c>
      <c r="U189" s="1">
        <v>-12748</v>
      </c>
      <c r="V189" s="1">
        <v>0</v>
      </c>
      <c r="W189" s="1" t="s">
        <v>28</v>
      </c>
      <c r="X189" s="1">
        <f t="shared" si="17"/>
        <v>0</v>
      </c>
      <c r="Y189" s="1" t="s">
        <v>28</v>
      </c>
      <c r="Z189" s="1">
        <f t="shared" si="18"/>
        <v>0</v>
      </c>
      <c r="AA189" s="1">
        <v>-117827</v>
      </c>
      <c r="AB189" s="1" t="s">
        <v>28</v>
      </c>
      <c r="AC189" s="1">
        <f t="shared" si="19"/>
        <v>0</v>
      </c>
      <c r="AD189" s="1" t="s">
        <v>28</v>
      </c>
      <c r="AE189" s="1">
        <f t="shared" si="20"/>
        <v>0</v>
      </c>
    </row>
    <row r="190" spans="1:31" x14ac:dyDescent="0.35">
      <c r="A190" s="1" t="s">
        <v>1287</v>
      </c>
      <c r="B190" s="1" t="s">
        <v>1288</v>
      </c>
      <c r="C190" s="1" t="s">
        <v>61</v>
      </c>
      <c r="D190" s="1">
        <v>29</v>
      </c>
      <c r="E190" s="2" t="s">
        <v>28</v>
      </c>
      <c r="F190" s="1">
        <f t="shared" si="14"/>
        <v>0</v>
      </c>
      <c r="G190" s="1">
        <v>22526</v>
      </c>
      <c r="H190" s="1">
        <v>12977167</v>
      </c>
      <c r="I190" s="1">
        <v>27684784</v>
      </c>
      <c r="J190" s="1">
        <v>4616392</v>
      </c>
      <c r="K190" s="1">
        <v>409000</v>
      </c>
      <c r="L190" s="1">
        <v>0</v>
      </c>
      <c r="M190" s="1">
        <v>45687343</v>
      </c>
      <c r="N190" s="1">
        <v>0</v>
      </c>
      <c r="O190" s="1">
        <v>0</v>
      </c>
      <c r="P190" s="1" t="s">
        <v>28</v>
      </c>
      <c r="Q190" s="1">
        <f t="shared" si="15"/>
        <v>0</v>
      </c>
      <c r="R190" s="1" t="s">
        <v>1289</v>
      </c>
      <c r="S190" s="1">
        <f t="shared" si="16"/>
        <v>-892473</v>
      </c>
      <c r="T190" s="1">
        <v>-2344762</v>
      </c>
      <c r="U190" s="1">
        <v>-326148</v>
      </c>
      <c r="V190" s="1">
        <v>0</v>
      </c>
      <c r="W190" s="1" t="s">
        <v>1290</v>
      </c>
      <c r="X190" s="1">
        <f t="shared" si="17"/>
        <v>-1383685</v>
      </c>
      <c r="Y190" s="1" t="s">
        <v>1291</v>
      </c>
      <c r="Z190" s="1">
        <f t="shared" si="18"/>
        <v>-2554756</v>
      </c>
      <c r="AA190" s="1">
        <v>-7501824</v>
      </c>
      <c r="AB190" s="1" t="s">
        <v>1292</v>
      </c>
      <c r="AC190" s="1">
        <f t="shared" si="19"/>
        <v>2280255</v>
      </c>
      <c r="AD190" s="1" t="s">
        <v>1293</v>
      </c>
      <c r="AE190" s="1">
        <f t="shared" si="20"/>
        <v>3200340</v>
      </c>
    </row>
    <row r="191" spans="1:31" x14ac:dyDescent="0.35">
      <c r="A191" s="1" t="s">
        <v>1307</v>
      </c>
      <c r="B191" s="1" t="s">
        <v>1308</v>
      </c>
      <c r="C191" s="1" t="s">
        <v>61</v>
      </c>
      <c r="D191" s="1">
        <v>78</v>
      </c>
      <c r="E191" s="2" t="s">
        <v>28</v>
      </c>
      <c r="F191" s="1">
        <f t="shared" si="14"/>
        <v>0</v>
      </c>
      <c r="G191" s="1">
        <v>3183</v>
      </c>
      <c r="H191" s="1">
        <v>0</v>
      </c>
      <c r="I191" s="1">
        <v>254971</v>
      </c>
      <c r="J191" s="1">
        <v>826262</v>
      </c>
      <c r="K191" s="1">
        <v>188452</v>
      </c>
      <c r="L191" s="1">
        <v>0</v>
      </c>
      <c r="M191" s="1">
        <v>1269685</v>
      </c>
      <c r="N191" s="1">
        <v>0</v>
      </c>
      <c r="O191" s="1">
        <v>1</v>
      </c>
      <c r="P191" s="1" t="s">
        <v>1309</v>
      </c>
      <c r="Q191" s="1">
        <f t="shared" si="15"/>
        <v>137841</v>
      </c>
      <c r="R191" s="1" t="s">
        <v>56</v>
      </c>
      <c r="S191" s="1">
        <f t="shared" si="16"/>
        <v>0</v>
      </c>
      <c r="T191" s="1">
        <v>-318483</v>
      </c>
      <c r="U191" s="1">
        <v>-1236311</v>
      </c>
      <c r="V191" s="1">
        <v>0</v>
      </c>
      <c r="W191" s="1" t="s">
        <v>56</v>
      </c>
      <c r="X191" s="1">
        <f t="shared" si="17"/>
        <v>0</v>
      </c>
      <c r="Y191" s="1" t="s">
        <v>56</v>
      </c>
      <c r="Z191" s="1">
        <f t="shared" si="18"/>
        <v>0</v>
      </c>
      <c r="AA191" s="1">
        <v>-1554794</v>
      </c>
      <c r="AB191" s="1" t="s">
        <v>56</v>
      </c>
      <c r="AC191" s="1">
        <f t="shared" si="19"/>
        <v>0</v>
      </c>
      <c r="AD191" s="1" t="s">
        <v>1310</v>
      </c>
      <c r="AE191" s="1">
        <f t="shared" si="20"/>
        <v>85212</v>
      </c>
    </row>
    <row r="192" spans="1:31" x14ac:dyDescent="0.35">
      <c r="A192" s="1" t="s">
        <v>43</v>
      </c>
      <c r="B192" s="1" t="s">
        <v>44</v>
      </c>
      <c r="C192" s="1" t="s">
        <v>45</v>
      </c>
      <c r="D192" s="1">
        <v>4</v>
      </c>
      <c r="E192" s="2" t="s">
        <v>28</v>
      </c>
      <c r="F192" s="1">
        <f t="shared" si="14"/>
        <v>0</v>
      </c>
      <c r="G192" s="1">
        <v>4206</v>
      </c>
      <c r="H192" s="1">
        <v>66711236</v>
      </c>
      <c r="I192" s="1">
        <v>15935653</v>
      </c>
      <c r="J192" s="1">
        <v>3410857</v>
      </c>
      <c r="K192" s="1">
        <v>2447814</v>
      </c>
      <c r="L192" s="1">
        <v>0</v>
      </c>
      <c r="M192" s="1">
        <v>88255560</v>
      </c>
      <c r="N192" s="1">
        <v>250000</v>
      </c>
      <c r="O192" s="1">
        <v>1</v>
      </c>
      <c r="P192" s="1" t="s">
        <v>46</v>
      </c>
      <c r="Q192" s="1">
        <f t="shared" si="15"/>
        <v>642139</v>
      </c>
      <c r="R192" s="1" t="s">
        <v>47</v>
      </c>
      <c r="S192" s="1">
        <f t="shared" si="16"/>
        <v>-436257</v>
      </c>
      <c r="T192" s="1">
        <v>-5082242</v>
      </c>
      <c r="U192" s="1">
        <v>-121212</v>
      </c>
      <c r="V192" s="1">
        <v>0</v>
      </c>
      <c r="W192" s="1" t="s">
        <v>48</v>
      </c>
      <c r="X192" s="1">
        <f t="shared" si="17"/>
        <v>-1250851</v>
      </c>
      <c r="Y192" s="1" t="s">
        <v>49</v>
      </c>
      <c r="Z192" s="1">
        <f t="shared" si="18"/>
        <v>-1113243</v>
      </c>
      <c r="AA192" s="1">
        <v>-8003805</v>
      </c>
      <c r="AB192" s="1" t="s">
        <v>50</v>
      </c>
      <c r="AC192" s="1">
        <f t="shared" si="19"/>
        <v>1318124</v>
      </c>
      <c r="AD192" s="1" t="s">
        <v>51</v>
      </c>
      <c r="AE192" s="1">
        <f t="shared" si="20"/>
        <v>227047</v>
      </c>
    </row>
    <row r="193" spans="1:31" x14ac:dyDescent="0.35">
      <c r="A193" s="1" t="s">
        <v>109</v>
      </c>
      <c r="B193" s="1" t="s">
        <v>110</v>
      </c>
      <c r="C193" s="1" t="s">
        <v>45</v>
      </c>
      <c r="D193" s="1">
        <v>5</v>
      </c>
      <c r="E193" s="2" t="s">
        <v>111</v>
      </c>
      <c r="F193" s="1">
        <f t="shared" si="14"/>
        <v>65622</v>
      </c>
      <c r="G193" s="1">
        <v>5691</v>
      </c>
      <c r="H193" s="1">
        <v>1792000</v>
      </c>
      <c r="I193" s="1">
        <v>14689000</v>
      </c>
      <c r="J193" s="1">
        <v>5398000</v>
      </c>
      <c r="K193" s="1">
        <v>2348000</v>
      </c>
      <c r="L193" s="1">
        <v>0</v>
      </c>
      <c r="M193" s="1">
        <v>23601000</v>
      </c>
      <c r="N193" s="1">
        <v>626000</v>
      </c>
      <c r="O193" s="1">
        <v>0</v>
      </c>
      <c r="P193" s="1" t="s">
        <v>28</v>
      </c>
      <c r="Q193" s="1">
        <f t="shared" si="15"/>
        <v>0</v>
      </c>
      <c r="R193" s="1" t="s">
        <v>112</v>
      </c>
      <c r="S193" s="1">
        <f t="shared" si="16"/>
        <v>-32600</v>
      </c>
      <c r="T193" s="1">
        <v>0</v>
      </c>
      <c r="U193" s="1">
        <v>0</v>
      </c>
      <c r="V193" s="1">
        <v>0</v>
      </c>
      <c r="W193" s="1" t="s">
        <v>113</v>
      </c>
      <c r="X193" s="1">
        <f t="shared" si="17"/>
        <v>-947553</v>
      </c>
      <c r="Y193" s="1" t="s">
        <v>114</v>
      </c>
      <c r="Z193" s="1">
        <f t="shared" si="18"/>
        <v>-298375</v>
      </c>
      <c r="AA193" s="1">
        <v>-1278528</v>
      </c>
      <c r="AB193" s="1" t="s">
        <v>115</v>
      </c>
      <c r="AC193" s="1">
        <f t="shared" si="19"/>
        <v>3180721</v>
      </c>
      <c r="AD193" s="1" t="s">
        <v>116</v>
      </c>
      <c r="AE193" s="1">
        <f t="shared" si="20"/>
        <v>253013</v>
      </c>
    </row>
    <row r="194" spans="1:31" x14ac:dyDescent="0.35">
      <c r="A194" s="1" t="s">
        <v>117</v>
      </c>
      <c r="B194" s="1" t="s">
        <v>118</v>
      </c>
      <c r="C194" s="1" t="s">
        <v>45</v>
      </c>
      <c r="D194" s="1">
        <v>30</v>
      </c>
      <c r="E194" s="2" t="s">
        <v>119</v>
      </c>
      <c r="F194" s="1">
        <f t="shared" ref="F194:F210" si="21">IF(ISNUMBER(VALUE(SUBSTITUTE(SUBSTITUTE(E194,",",""),"£",""))), VALUE(SUBSTITUTE(SUBSTITUTE(E194,",",""),"£","")), 0)</f>
        <v>15803</v>
      </c>
      <c r="G194" s="1">
        <v>424</v>
      </c>
      <c r="H194" s="1">
        <v>22424000</v>
      </c>
      <c r="I194" s="1">
        <v>190000</v>
      </c>
      <c r="J194" s="1">
        <v>8630000</v>
      </c>
      <c r="K194" s="1">
        <v>5269000</v>
      </c>
      <c r="L194" s="1">
        <v>0</v>
      </c>
      <c r="M194" s="1">
        <v>36513000</v>
      </c>
      <c r="N194" s="1">
        <v>0</v>
      </c>
      <c r="O194" s="1">
        <v>0</v>
      </c>
      <c r="P194" s="1" t="s">
        <v>28</v>
      </c>
      <c r="Q194" s="1">
        <f t="shared" ref="Q194:Q210" si="22">IF(ISNUMBER(VALUE(SUBSTITUTE(SUBSTITUTE(P194,",",""),"£",""))), VALUE(SUBSTITUTE(SUBSTITUTE(P194,",",""),"£","")), 0)</f>
        <v>0</v>
      </c>
      <c r="R194" s="1" t="s">
        <v>120</v>
      </c>
      <c r="S194" s="1">
        <f t="shared" ref="S194:S210" si="23">IF(ISNUMBER(VALUE(SUBSTITUTE(SUBSTITUTE(R194,",",""),"£",""))), VALUE(SUBSTITUTE(SUBSTITUTE(R194,",",""),"£","")), 0)</f>
        <v>-216046</v>
      </c>
      <c r="T194" s="1">
        <v>-560882</v>
      </c>
      <c r="U194" s="1">
        <v>-6313</v>
      </c>
      <c r="V194" s="1">
        <v>-15</v>
      </c>
      <c r="W194" s="1" t="s">
        <v>121</v>
      </c>
      <c r="X194" s="1">
        <f t="shared" ref="X194:X210" si="24">IF(ISNUMBER(VALUE(SUBSTITUTE(SUBSTITUTE(W194,",",""),"£",""))), VALUE(SUBSTITUTE(SUBSTITUTE(W194,",",""),"£","")), 0)</f>
        <v>-1011409</v>
      </c>
      <c r="Y194" s="1" t="s">
        <v>122</v>
      </c>
      <c r="Z194" s="1">
        <f t="shared" ref="Z194:Z210" si="25">IF(ISNUMBER(VALUE(SUBSTITUTE(SUBSTITUTE(Y194,",",""),"£",""))), VALUE(SUBSTITUTE(SUBSTITUTE(Y194,",",""),"£","")), 0)</f>
        <v>-259419</v>
      </c>
      <c r="AA194" s="1">
        <v>-2054084</v>
      </c>
      <c r="AB194" s="1" t="s">
        <v>123</v>
      </c>
      <c r="AC194" s="1">
        <f t="shared" ref="AC194:AC210" si="26">IF(ISNUMBER(VALUE(SUBSTITUTE(SUBSTITUTE(AB194,",",""),"£",""))), VALUE(SUBSTITUTE(SUBSTITUTE(AB194,",",""),"£","")), 0)</f>
        <v>2371652</v>
      </c>
      <c r="AD194" s="1" t="s">
        <v>124</v>
      </c>
      <c r="AE194" s="1">
        <f t="shared" ref="AE194:AE210" si="27">IF(ISNUMBER(VALUE(SUBSTITUTE(SUBSTITUTE(AD194,",",""),"£",""))), VALUE(SUBSTITUTE(SUBSTITUTE(AD194,",",""),"£","")), 0)</f>
        <v>49464</v>
      </c>
    </row>
    <row r="195" spans="1:31" x14ac:dyDescent="0.35">
      <c r="A195" s="1" t="s">
        <v>180</v>
      </c>
      <c r="B195" s="1" t="s">
        <v>181</v>
      </c>
      <c r="C195" s="1" t="s">
        <v>45</v>
      </c>
      <c r="D195" s="1">
        <v>18</v>
      </c>
      <c r="E195" s="2" t="s">
        <v>182</v>
      </c>
      <c r="F195" s="1">
        <f t="shared" si="21"/>
        <v>111422</v>
      </c>
      <c r="G195" s="1">
        <v>4982</v>
      </c>
      <c r="H195" s="1">
        <v>6716343</v>
      </c>
      <c r="I195" s="1">
        <v>10555712</v>
      </c>
      <c r="J195" s="1">
        <v>646432</v>
      </c>
      <c r="K195" s="1">
        <v>299518</v>
      </c>
      <c r="L195" s="1">
        <v>0</v>
      </c>
      <c r="M195" s="1">
        <v>18110043</v>
      </c>
      <c r="N195" s="1">
        <v>107962</v>
      </c>
      <c r="O195" s="1">
        <v>2</v>
      </c>
      <c r="P195" s="1" t="s">
        <v>183</v>
      </c>
      <c r="Q195" s="1">
        <f t="shared" si="22"/>
        <v>188194</v>
      </c>
      <c r="R195" s="1" t="s">
        <v>184</v>
      </c>
      <c r="S195" s="1">
        <f t="shared" si="23"/>
        <v>-128759</v>
      </c>
      <c r="T195" s="1">
        <v>-4299</v>
      </c>
      <c r="U195" s="1">
        <v>-231373</v>
      </c>
      <c r="V195" s="1">
        <v>0</v>
      </c>
      <c r="W195" s="1" t="s">
        <v>185</v>
      </c>
      <c r="X195" s="1">
        <f t="shared" si="24"/>
        <v>-317129</v>
      </c>
      <c r="Y195" s="1" t="s">
        <v>56</v>
      </c>
      <c r="Z195" s="1">
        <f t="shared" si="25"/>
        <v>0</v>
      </c>
      <c r="AA195" s="1">
        <v>-681560</v>
      </c>
      <c r="AB195" s="1" t="s">
        <v>186</v>
      </c>
      <c r="AC195" s="1">
        <f t="shared" si="26"/>
        <v>810265</v>
      </c>
      <c r="AD195" s="1" t="s">
        <v>187</v>
      </c>
      <c r="AE195" s="1">
        <f t="shared" si="27"/>
        <v>72134</v>
      </c>
    </row>
    <row r="196" spans="1:31" x14ac:dyDescent="0.35">
      <c r="A196" s="1" t="s">
        <v>281</v>
      </c>
      <c r="B196" s="1" t="s">
        <v>282</v>
      </c>
      <c r="C196" s="1" t="s">
        <v>45</v>
      </c>
      <c r="D196" s="1">
        <v>20</v>
      </c>
      <c r="E196" s="2" t="s">
        <v>56</v>
      </c>
      <c r="F196" s="1">
        <f t="shared" si="21"/>
        <v>0</v>
      </c>
      <c r="G196" s="1">
        <v>3130</v>
      </c>
      <c r="H196" s="1">
        <v>13295393</v>
      </c>
      <c r="I196" s="1">
        <v>6837785</v>
      </c>
      <c r="J196" s="1">
        <v>559021</v>
      </c>
      <c r="K196" s="1">
        <v>226838</v>
      </c>
      <c r="L196" s="1">
        <v>0</v>
      </c>
      <c r="M196" s="1">
        <v>20919037</v>
      </c>
      <c r="N196" s="1">
        <v>0</v>
      </c>
      <c r="O196" s="1">
        <v>0</v>
      </c>
      <c r="P196" s="1" t="s">
        <v>28</v>
      </c>
      <c r="Q196" s="1">
        <f t="shared" si="22"/>
        <v>0</v>
      </c>
      <c r="R196" s="1" t="s">
        <v>283</v>
      </c>
      <c r="S196" s="1">
        <f t="shared" si="23"/>
        <v>-8278</v>
      </c>
      <c r="T196" s="1">
        <v>-327777</v>
      </c>
      <c r="U196" s="1">
        <v>-23830</v>
      </c>
      <c r="V196" s="1">
        <v>0</v>
      </c>
      <c r="W196" s="1" t="s">
        <v>284</v>
      </c>
      <c r="X196" s="1">
        <f t="shared" si="24"/>
        <v>-1613416</v>
      </c>
      <c r="Y196" s="1" t="s">
        <v>285</v>
      </c>
      <c r="Z196" s="1">
        <f t="shared" si="25"/>
        <v>-14830</v>
      </c>
      <c r="AA196" s="1">
        <v>-1988131</v>
      </c>
      <c r="AB196" s="1" t="s">
        <v>286</v>
      </c>
      <c r="AC196" s="1">
        <f t="shared" si="26"/>
        <v>616771</v>
      </c>
      <c r="AD196" s="1" t="s">
        <v>287</v>
      </c>
      <c r="AE196" s="1">
        <f t="shared" si="27"/>
        <v>385470</v>
      </c>
    </row>
    <row r="197" spans="1:31" x14ac:dyDescent="0.35">
      <c r="A197" s="1" t="s">
        <v>314</v>
      </c>
      <c r="B197" s="1" t="s">
        <v>315</v>
      </c>
      <c r="C197" s="1" t="s">
        <v>45</v>
      </c>
      <c r="D197" s="1">
        <v>177</v>
      </c>
      <c r="E197" s="2" t="s">
        <v>56</v>
      </c>
      <c r="F197" s="1">
        <f t="shared" si="21"/>
        <v>0</v>
      </c>
      <c r="G197" s="1">
        <v>0</v>
      </c>
      <c r="H197" s="1">
        <v>3142796</v>
      </c>
      <c r="I197" s="1">
        <v>3570723</v>
      </c>
      <c r="J197" s="1">
        <v>1793980</v>
      </c>
      <c r="K197" s="1">
        <v>1814144</v>
      </c>
      <c r="L197" s="1">
        <v>0</v>
      </c>
      <c r="M197" s="1">
        <v>9665599</v>
      </c>
      <c r="N197" s="1">
        <v>656044</v>
      </c>
      <c r="O197" s="1">
        <v>0</v>
      </c>
      <c r="P197" s="1" t="s">
        <v>28</v>
      </c>
      <c r="Q197" s="1">
        <f t="shared" si="22"/>
        <v>0</v>
      </c>
      <c r="R197" s="1" t="s">
        <v>56</v>
      </c>
      <c r="S197" s="1">
        <f t="shared" si="23"/>
        <v>0</v>
      </c>
      <c r="T197" s="1">
        <v>-30829</v>
      </c>
      <c r="U197" s="1">
        <v>-18153</v>
      </c>
      <c r="V197" s="1">
        <v>-957</v>
      </c>
      <c r="W197" s="1" t="s">
        <v>316</v>
      </c>
      <c r="X197" s="1">
        <f t="shared" si="24"/>
        <v>-13316</v>
      </c>
      <c r="Y197" s="1" t="s">
        <v>56</v>
      </c>
      <c r="Z197" s="1">
        <f t="shared" si="25"/>
        <v>0</v>
      </c>
      <c r="AA197" s="1">
        <v>-63255</v>
      </c>
      <c r="AB197" s="1" t="s">
        <v>56</v>
      </c>
      <c r="AC197" s="1">
        <f t="shared" si="26"/>
        <v>0</v>
      </c>
      <c r="AD197" s="1" t="s">
        <v>317</v>
      </c>
      <c r="AE197" s="1">
        <f t="shared" si="27"/>
        <v>381388</v>
      </c>
    </row>
    <row r="198" spans="1:31" x14ac:dyDescent="0.35">
      <c r="A198" s="1" t="s">
        <v>318</v>
      </c>
      <c r="B198" s="1" t="s">
        <v>319</v>
      </c>
      <c r="C198" s="1" t="s">
        <v>45</v>
      </c>
      <c r="D198" s="1">
        <v>11</v>
      </c>
      <c r="E198" s="2" t="s">
        <v>28</v>
      </c>
      <c r="F198" s="1">
        <f t="shared" si="21"/>
        <v>0</v>
      </c>
      <c r="G198" s="1">
        <v>0</v>
      </c>
      <c r="H198" s="1">
        <v>6230443</v>
      </c>
      <c r="I198" s="1">
        <v>495857</v>
      </c>
      <c r="J198" s="1">
        <v>5327483</v>
      </c>
      <c r="K198" s="1">
        <v>545659</v>
      </c>
      <c r="L198" s="1">
        <v>0</v>
      </c>
      <c r="M198" s="1">
        <v>11803292</v>
      </c>
      <c r="N198" s="1">
        <v>796150</v>
      </c>
      <c r="O198" s="1">
        <v>0</v>
      </c>
      <c r="P198" s="1" t="s">
        <v>28</v>
      </c>
      <c r="Q198" s="1">
        <f t="shared" si="22"/>
        <v>0</v>
      </c>
      <c r="R198" s="1" t="s">
        <v>320</v>
      </c>
      <c r="S198" s="1">
        <f t="shared" si="23"/>
        <v>-221774</v>
      </c>
      <c r="T198" s="1">
        <v>-2383730</v>
      </c>
      <c r="U198" s="1">
        <v>-403419</v>
      </c>
      <c r="V198" s="1">
        <v>0</v>
      </c>
      <c r="W198" s="1" t="s">
        <v>321</v>
      </c>
      <c r="X198" s="1">
        <f t="shared" si="24"/>
        <v>-1646540</v>
      </c>
      <c r="Y198" s="1" t="s">
        <v>322</v>
      </c>
      <c r="Z198" s="1">
        <f t="shared" si="25"/>
        <v>-554755</v>
      </c>
      <c r="AA198" s="1">
        <v>-5210218</v>
      </c>
      <c r="AB198" s="1" t="s">
        <v>323</v>
      </c>
      <c r="AC198" s="1">
        <f t="shared" si="26"/>
        <v>1470454</v>
      </c>
      <c r="AD198" s="1" t="s">
        <v>324</v>
      </c>
      <c r="AE198" s="1">
        <f t="shared" si="27"/>
        <v>291131</v>
      </c>
    </row>
    <row r="199" spans="1:31" x14ac:dyDescent="0.35">
      <c r="A199" s="1" t="s">
        <v>420</v>
      </c>
      <c r="B199" s="1" t="s">
        <v>421</v>
      </c>
      <c r="C199" s="1" t="s">
        <v>45</v>
      </c>
      <c r="D199" s="1">
        <v>43</v>
      </c>
      <c r="E199" s="2" t="s">
        <v>28</v>
      </c>
      <c r="F199" s="1">
        <f t="shared" si="21"/>
        <v>0</v>
      </c>
      <c r="G199" s="1">
        <v>148669</v>
      </c>
      <c r="H199" s="1">
        <v>38877086</v>
      </c>
      <c r="I199" s="1">
        <v>7591117</v>
      </c>
      <c r="J199" s="1">
        <v>7569200</v>
      </c>
      <c r="K199" s="1">
        <v>661031</v>
      </c>
      <c r="L199" s="1">
        <v>393510</v>
      </c>
      <c r="M199" s="1">
        <v>51242236</v>
      </c>
      <c r="N199" s="1">
        <v>3062688</v>
      </c>
      <c r="O199" s="1">
        <v>2</v>
      </c>
      <c r="P199" s="1" t="s">
        <v>422</v>
      </c>
      <c r="Q199" s="1">
        <f t="shared" si="22"/>
        <v>30000</v>
      </c>
      <c r="R199" s="1" t="s">
        <v>423</v>
      </c>
      <c r="S199" s="1">
        <f t="shared" si="23"/>
        <v>305866</v>
      </c>
      <c r="T199" s="1">
        <v>624895</v>
      </c>
      <c r="U199" s="1">
        <v>196712</v>
      </c>
      <c r="V199" s="1">
        <v>7346</v>
      </c>
      <c r="W199" s="1" t="s">
        <v>424</v>
      </c>
      <c r="X199" s="1">
        <f t="shared" si="24"/>
        <v>-2289614</v>
      </c>
      <c r="Y199" s="1" t="s">
        <v>425</v>
      </c>
      <c r="Z199" s="1">
        <f t="shared" si="25"/>
        <v>-775475</v>
      </c>
      <c r="AA199" s="1">
        <v>-1930270</v>
      </c>
      <c r="AB199" s="1" t="s">
        <v>56</v>
      </c>
      <c r="AC199" s="1">
        <f t="shared" si="26"/>
        <v>0</v>
      </c>
      <c r="AD199" s="1" t="s">
        <v>426</v>
      </c>
      <c r="AE199" s="1">
        <f t="shared" si="27"/>
        <v>1598190</v>
      </c>
    </row>
    <row r="200" spans="1:31" x14ac:dyDescent="0.35">
      <c r="A200" s="1" t="s">
        <v>427</v>
      </c>
      <c r="B200" s="1" t="s">
        <v>428</v>
      </c>
      <c r="C200" s="1" t="s">
        <v>45</v>
      </c>
      <c r="D200" s="1">
        <v>37</v>
      </c>
      <c r="E200" s="2" t="s">
        <v>429</v>
      </c>
      <c r="F200" s="1">
        <f t="shared" si="21"/>
        <v>26603</v>
      </c>
      <c r="G200" s="1">
        <v>10540</v>
      </c>
      <c r="H200" s="1">
        <v>14897518</v>
      </c>
      <c r="I200" s="1">
        <v>18330130</v>
      </c>
      <c r="J200" s="1">
        <v>10094961</v>
      </c>
      <c r="K200" s="1">
        <v>700193</v>
      </c>
      <c r="L200" s="1">
        <v>0</v>
      </c>
      <c r="M200" s="1">
        <v>43753408</v>
      </c>
      <c r="N200" s="1">
        <v>269394</v>
      </c>
      <c r="O200" s="1">
        <v>1</v>
      </c>
      <c r="P200" s="1" t="s">
        <v>430</v>
      </c>
      <c r="Q200" s="1">
        <f t="shared" si="22"/>
        <v>172000</v>
      </c>
      <c r="R200" s="1" t="s">
        <v>56</v>
      </c>
      <c r="S200" s="1">
        <f t="shared" si="23"/>
        <v>0</v>
      </c>
      <c r="T200" s="1">
        <v>-227624</v>
      </c>
      <c r="U200" s="1">
        <v>-1484796</v>
      </c>
      <c r="V200" s="1">
        <v>0</v>
      </c>
      <c r="W200" s="1" t="s">
        <v>431</v>
      </c>
      <c r="X200" s="1">
        <f t="shared" si="24"/>
        <v>-605210</v>
      </c>
      <c r="Y200" s="1" t="s">
        <v>432</v>
      </c>
      <c r="Z200" s="1">
        <f t="shared" si="25"/>
        <v>-40750</v>
      </c>
      <c r="AA200" s="1">
        <v>-2358380</v>
      </c>
      <c r="AB200" s="1" t="s">
        <v>433</v>
      </c>
      <c r="AC200" s="1">
        <f t="shared" si="26"/>
        <v>1084738</v>
      </c>
      <c r="AD200" s="1" t="s">
        <v>434</v>
      </c>
      <c r="AE200" s="1">
        <f t="shared" si="27"/>
        <v>23295</v>
      </c>
    </row>
    <row r="201" spans="1:31" x14ac:dyDescent="0.35">
      <c r="A201" s="1" t="s">
        <v>501</v>
      </c>
      <c r="B201" s="1" t="s">
        <v>502</v>
      </c>
      <c r="C201" s="1" t="s">
        <v>45</v>
      </c>
      <c r="D201" s="1">
        <v>84</v>
      </c>
      <c r="E201" s="2" t="s">
        <v>28</v>
      </c>
      <c r="F201" s="1">
        <f t="shared" si="21"/>
        <v>0</v>
      </c>
      <c r="G201" s="1">
        <v>1167</v>
      </c>
      <c r="H201" s="1">
        <v>14950000</v>
      </c>
      <c r="I201" s="1">
        <v>6576000</v>
      </c>
      <c r="J201" s="1">
        <v>317000</v>
      </c>
      <c r="K201" s="1">
        <v>1392000</v>
      </c>
      <c r="L201" s="1">
        <v>0</v>
      </c>
      <c r="M201" s="1">
        <v>23197000</v>
      </c>
      <c r="N201" s="1">
        <v>38000</v>
      </c>
      <c r="O201" s="1">
        <v>0</v>
      </c>
      <c r="P201" s="1" t="s">
        <v>28</v>
      </c>
      <c r="Q201" s="1">
        <f t="shared" si="22"/>
        <v>0</v>
      </c>
      <c r="R201" s="1" t="s">
        <v>56</v>
      </c>
      <c r="S201" s="1">
        <f t="shared" si="23"/>
        <v>0</v>
      </c>
      <c r="T201" s="1">
        <v>0</v>
      </c>
      <c r="U201" s="1">
        <v>0</v>
      </c>
      <c r="V201" s="1">
        <v>0</v>
      </c>
      <c r="W201" s="1" t="s">
        <v>56</v>
      </c>
      <c r="X201" s="1">
        <f t="shared" si="24"/>
        <v>0</v>
      </c>
      <c r="Y201" s="1" t="s">
        <v>56</v>
      </c>
      <c r="Z201" s="1">
        <f t="shared" si="25"/>
        <v>0</v>
      </c>
      <c r="AA201" s="1">
        <v>0</v>
      </c>
      <c r="AB201" s="1" t="s">
        <v>503</v>
      </c>
      <c r="AC201" s="1">
        <f t="shared" si="26"/>
        <v>37932</v>
      </c>
      <c r="AD201" s="1" t="s">
        <v>504</v>
      </c>
      <c r="AE201" s="1">
        <f t="shared" si="27"/>
        <v>165174</v>
      </c>
    </row>
    <row r="202" spans="1:31" x14ac:dyDescent="0.35">
      <c r="A202" s="1" t="s">
        <v>558</v>
      </c>
      <c r="B202" s="1" t="s">
        <v>559</v>
      </c>
      <c r="C202" s="1" t="s">
        <v>45</v>
      </c>
      <c r="D202" s="1">
        <v>44</v>
      </c>
      <c r="E202" s="2" t="s">
        <v>560</v>
      </c>
      <c r="F202" s="1">
        <f t="shared" si="21"/>
        <v>13392</v>
      </c>
      <c r="G202" s="1">
        <v>10996</v>
      </c>
      <c r="H202" s="1">
        <v>25268085</v>
      </c>
      <c r="I202" s="1">
        <v>46436046</v>
      </c>
      <c r="J202" s="1">
        <v>982689</v>
      </c>
      <c r="K202" s="1">
        <v>278051</v>
      </c>
      <c r="L202" s="1">
        <v>0</v>
      </c>
      <c r="M202" s="1">
        <v>72964871</v>
      </c>
      <c r="N202" s="1">
        <v>0</v>
      </c>
      <c r="O202" s="1">
        <v>4</v>
      </c>
      <c r="P202" s="1" t="s">
        <v>561</v>
      </c>
      <c r="Q202" s="1">
        <f t="shared" si="22"/>
        <v>190531</v>
      </c>
      <c r="R202" s="1" t="s">
        <v>562</v>
      </c>
      <c r="S202" s="1">
        <f t="shared" si="23"/>
        <v>-638041</v>
      </c>
      <c r="T202" s="1">
        <v>-190019</v>
      </c>
      <c r="U202" s="1">
        <v>79857</v>
      </c>
      <c r="V202" s="1">
        <v>0</v>
      </c>
      <c r="W202" s="1" t="s">
        <v>563</v>
      </c>
      <c r="X202" s="1">
        <f t="shared" si="24"/>
        <v>-1238441</v>
      </c>
      <c r="Y202" s="1" t="s">
        <v>564</v>
      </c>
      <c r="Z202" s="1">
        <f t="shared" si="25"/>
        <v>-1254756</v>
      </c>
      <c r="AA202" s="1">
        <v>-3241400</v>
      </c>
      <c r="AB202" s="1" t="s">
        <v>565</v>
      </c>
      <c r="AC202" s="1">
        <f t="shared" si="26"/>
        <v>3678866</v>
      </c>
      <c r="AD202" s="1" t="s">
        <v>566</v>
      </c>
      <c r="AE202" s="1">
        <f t="shared" si="27"/>
        <v>149191</v>
      </c>
    </row>
    <row r="203" spans="1:31" x14ac:dyDescent="0.35">
      <c r="A203" s="1" t="s">
        <v>651</v>
      </c>
      <c r="B203" s="1" t="s">
        <v>652</v>
      </c>
      <c r="C203" s="1" t="s">
        <v>45</v>
      </c>
      <c r="D203" s="1">
        <v>58</v>
      </c>
      <c r="E203" s="2" t="s">
        <v>653</v>
      </c>
      <c r="F203" s="1">
        <f t="shared" si="21"/>
        <v>47597</v>
      </c>
      <c r="G203" s="1">
        <v>8414</v>
      </c>
      <c r="H203" s="1">
        <v>20216563</v>
      </c>
      <c r="I203" s="1">
        <v>1188017</v>
      </c>
      <c r="J203" s="1">
        <v>3729124</v>
      </c>
      <c r="K203" s="1">
        <v>591809</v>
      </c>
      <c r="L203" s="1">
        <v>0</v>
      </c>
      <c r="M203" s="1">
        <v>25570107</v>
      </c>
      <c r="N203" s="1">
        <v>155406</v>
      </c>
      <c r="O203" s="1">
        <v>0</v>
      </c>
      <c r="P203" s="1" t="s">
        <v>28</v>
      </c>
      <c r="Q203" s="1">
        <f t="shared" si="22"/>
        <v>0</v>
      </c>
      <c r="R203" s="1" t="s">
        <v>654</v>
      </c>
      <c r="S203" s="1">
        <f t="shared" si="23"/>
        <v>-83000</v>
      </c>
      <c r="T203" s="1">
        <v>0</v>
      </c>
      <c r="U203" s="1">
        <v>0</v>
      </c>
      <c r="V203" s="1">
        <v>0</v>
      </c>
      <c r="W203" s="1" t="s">
        <v>655</v>
      </c>
      <c r="X203" s="1">
        <f t="shared" si="24"/>
        <v>-1254822</v>
      </c>
      <c r="Y203" s="1" t="s">
        <v>56</v>
      </c>
      <c r="Z203" s="1">
        <f t="shared" si="25"/>
        <v>0</v>
      </c>
      <c r="AA203" s="1">
        <v>-1337822</v>
      </c>
      <c r="AB203" s="1" t="s">
        <v>656</v>
      </c>
      <c r="AC203" s="1">
        <f t="shared" si="26"/>
        <v>662000</v>
      </c>
      <c r="AD203" s="1" t="s">
        <v>657</v>
      </c>
      <c r="AE203" s="1">
        <f t="shared" si="27"/>
        <v>311000</v>
      </c>
    </row>
    <row r="204" spans="1:31" x14ac:dyDescent="0.35">
      <c r="A204" s="1" t="s">
        <v>706</v>
      </c>
      <c r="B204" s="1" t="s">
        <v>707</v>
      </c>
      <c r="C204" s="1" t="s">
        <v>45</v>
      </c>
      <c r="D204" s="1">
        <v>6</v>
      </c>
      <c r="E204" s="2" t="s">
        <v>708</v>
      </c>
      <c r="F204" s="1">
        <f t="shared" si="21"/>
        <v>157544</v>
      </c>
      <c r="G204" s="1">
        <v>2424</v>
      </c>
      <c r="H204" s="1">
        <v>13214980</v>
      </c>
      <c r="I204" s="1">
        <v>15718324</v>
      </c>
      <c r="J204" s="1">
        <v>1402724</v>
      </c>
      <c r="K204" s="1">
        <v>1494793</v>
      </c>
      <c r="L204" s="1">
        <v>0</v>
      </c>
      <c r="M204" s="1">
        <v>21402279</v>
      </c>
      <c r="N204" s="1">
        <v>10428542</v>
      </c>
      <c r="O204" s="1">
        <v>1</v>
      </c>
      <c r="P204" s="1" t="s">
        <v>709</v>
      </c>
      <c r="Q204" s="1">
        <f t="shared" si="22"/>
        <v>10000000</v>
      </c>
      <c r="R204" s="1" t="s">
        <v>710</v>
      </c>
      <c r="S204" s="1">
        <f t="shared" si="23"/>
        <v>-134520</v>
      </c>
      <c r="T204" s="1">
        <v>7410249</v>
      </c>
      <c r="U204" s="1">
        <v>358490</v>
      </c>
      <c r="V204" s="1">
        <v>0</v>
      </c>
      <c r="W204" s="1" t="s">
        <v>711</v>
      </c>
      <c r="X204" s="1">
        <f t="shared" si="24"/>
        <v>-931202</v>
      </c>
      <c r="Y204" s="1" t="s">
        <v>712</v>
      </c>
      <c r="Z204" s="1">
        <f t="shared" si="25"/>
        <v>-724826</v>
      </c>
      <c r="AA204" s="1">
        <v>5978191</v>
      </c>
      <c r="AB204" s="1" t="s">
        <v>713</v>
      </c>
      <c r="AC204" s="1">
        <f t="shared" si="26"/>
        <v>1479315</v>
      </c>
      <c r="AD204" s="1" t="s">
        <v>714</v>
      </c>
      <c r="AE204" s="1">
        <f t="shared" si="27"/>
        <v>61603</v>
      </c>
    </row>
    <row r="205" spans="1:31" x14ac:dyDescent="0.35">
      <c r="A205" s="1" t="s">
        <v>883</v>
      </c>
      <c r="B205" s="1" t="s">
        <v>884</v>
      </c>
      <c r="C205" s="1" t="s">
        <v>45</v>
      </c>
      <c r="D205" s="1">
        <v>19</v>
      </c>
      <c r="E205" s="2" t="s">
        <v>885</v>
      </c>
      <c r="F205" s="1">
        <f t="shared" si="21"/>
        <v>69435</v>
      </c>
      <c r="G205" s="1">
        <v>16067</v>
      </c>
      <c r="H205" s="1">
        <v>13602483</v>
      </c>
      <c r="I205" s="1">
        <v>22469549</v>
      </c>
      <c r="J205" s="1">
        <v>1340805</v>
      </c>
      <c r="K205" s="1">
        <v>58376</v>
      </c>
      <c r="L205" s="1">
        <v>0</v>
      </c>
      <c r="M205" s="1">
        <v>30652110</v>
      </c>
      <c r="N205" s="1">
        <v>6819103</v>
      </c>
      <c r="O205" s="1">
        <v>0</v>
      </c>
      <c r="P205" s="1" t="s">
        <v>28</v>
      </c>
      <c r="Q205" s="1">
        <f t="shared" si="22"/>
        <v>0</v>
      </c>
      <c r="R205" s="1" t="s">
        <v>886</v>
      </c>
      <c r="S205" s="1">
        <f t="shared" si="23"/>
        <v>-7140</v>
      </c>
      <c r="T205" s="1">
        <v>-1079440</v>
      </c>
      <c r="U205" s="1">
        <v>-217802</v>
      </c>
      <c r="V205" s="1">
        <v>-117137</v>
      </c>
      <c r="W205" s="1" t="s">
        <v>887</v>
      </c>
      <c r="X205" s="1">
        <f t="shared" si="24"/>
        <v>-2664306</v>
      </c>
      <c r="Y205" s="1" t="s">
        <v>888</v>
      </c>
      <c r="Z205" s="1">
        <f t="shared" si="25"/>
        <v>-1141845</v>
      </c>
      <c r="AA205" s="1">
        <v>-5227670</v>
      </c>
      <c r="AB205" s="1" t="s">
        <v>889</v>
      </c>
      <c r="AC205" s="1">
        <f t="shared" si="26"/>
        <v>1088833</v>
      </c>
      <c r="AD205" s="1" t="s">
        <v>890</v>
      </c>
      <c r="AE205" s="1">
        <f t="shared" si="27"/>
        <v>218528</v>
      </c>
    </row>
    <row r="206" spans="1:31" x14ac:dyDescent="0.35">
      <c r="A206" s="1" t="s">
        <v>926</v>
      </c>
      <c r="B206" s="1" t="s">
        <v>927</v>
      </c>
      <c r="C206" s="1" t="s">
        <v>45</v>
      </c>
      <c r="D206" s="1">
        <v>174</v>
      </c>
      <c r="E206" s="2" t="s">
        <v>928</v>
      </c>
      <c r="F206" s="1">
        <f t="shared" si="21"/>
        <v>4735</v>
      </c>
      <c r="G206" s="1">
        <v>670</v>
      </c>
      <c r="H206" s="1">
        <v>9404910</v>
      </c>
      <c r="I206" s="1">
        <v>584350</v>
      </c>
      <c r="J206" s="1">
        <v>1720076</v>
      </c>
      <c r="K206" s="1">
        <v>989731</v>
      </c>
      <c r="L206" s="1">
        <v>0</v>
      </c>
      <c r="M206" s="1">
        <v>12699067</v>
      </c>
      <c r="N206" s="1">
        <v>0</v>
      </c>
      <c r="O206" s="1">
        <v>1</v>
      </c>
      <c r="P206" s="1" t="s">
        <v>929</v>
      </c>
      <c r="Q206" s="1">
        <f t="shared" si="22"/>
        <v>79129</v>
      </c>
      <c r="R206" s="1" t="s">
        <v>56</v>
      </c>
      <c r="S206" s="1">
        <f t="shared" si="23"/>
        <v>0</v>
      </c>
      <c r="T206" s="1">
        <v>-35958</v>
      </c>
      <c r="U206" s="1">
        <v>0</v>
      </c>
      <c r="V206" s="1">
        <v>0</v>
      </c>
      <c r="W206" s="1" t="s">
        <v>56</v>
      </c>
      <c r="X206" s="1">
        <f t="shared" si="24"/>
        <v>0</v>
      </c>
      <c r="Y206" s="1" t="s">
        <v>56</v>
      </c>
      <c r="Z206" s="1">
        <f t="shared" si="25"/>
        <v>0</v>
      </c>
      <c r="AA206" s="1">
        <v>-35958</v>
      </c>
      <c r="AB206" s="1" t="s">
        <v>930</v>
      </c>
      <c r="AC206" s="1">
        <f t="shared" si="26"/>
        <v>547365</v>
      </c>
      <c r="AD206" s="1" t="s">
        <v>931</v>
      </c>
      <c r="AE206" s="1">
        <f t="shared" si="27"/>
        <v>64799</v>
      </c>
    </row>
    <row r="207" spans="1:31" x14ac:dyDescent="0.35">
      <c r="A207" s="1" t="s">
        <v>957</v>
      </c>
      <c r="B207" s="1" t="s">
        <v>958</v>
      </c>
      <c r="C207" s="1" t="s">
        <v>45</v>
      </c>
      <c r="D207" s="1">
        <v>5</v>
      </c>
      <c r="E207" s="2" t="s">
        <v>959</v>
      </c>
      <c r="F207" s="1">
        <f t="shared" si="21"/>
        <v>52695</v>
      </c>
      <c r="G207" s="1">
        <v>6547</v>
      </c>
      <c r="H207" s="1">
        <v>12799000</v>
      </c>
      <c r="I207" s="1">
        <v>16232000</v>
      </c>
      <c r="J207" s="1">
        <v>1556000</v>
      </c>
      <c r="K207" s="1">
        <v>83000</v>
      </c>
      <c r="L207" s="1">
        <v>0</v>
      </c>
      <c r="M207" s="1">
        <v>27731000</v>
      </c>
      <c r="N207" s="1">
        <v>2939000</v>
      </c>
      <c r="O207" s="1">
        <v>14</v>
      </c>
      <c r="P207" s="1" t="s">
        <v>960</v>
      </c>
      <c r="Q207" s="1">
        <f t="shared" si="22"/>
        <v>132871</v>
      </c>
      <c r="R207" s="1" t="s">
        <v>56</v>
      </c>
      <c r="S207" s="1">
        <f t="shared" si="23"/>
        <v>0</v>
      </c>
      <c r="T207" s="1">
        <v>0</v>
      </c>
      <c r="U207" s="1">
        <v>0</v>
      </c>
      <c r="V207" s="1">
        <v>0</v>
      </c>
      <c r="W207" s="1" t="s">
        <v>961</v>
      </c>
      <c r="X207" s="1">
        <f t="shared" si="24"/>
        <v>-2058793</v>
      </c>
      <c r="Y207" s="1" t="s">
        <v>962</v>
      </c>
      <c r="Z207" s="1">
        <f t="shared" si="25"/>
        <v>-52976</v>
      </c>
      <c r="AA207" s="1">
        <v>-2111769</v>
      </c>
      <c r="AB207" s="1" t="s">
        <v>963</v>
      </c>
      <c r="AC207" s="1">
        <f t="shared" si="26"/>
        <v>550983</v>
      </c>
      <c r="AD207" s="1" t="s">
        <v>964</v>
      </c>
      <c r="AE207" s="1">
        <f t="shared" si="27"/>
        <v>714936</v>
      </c>
    </row>
    <row r="208" spans="1:31" x14ac:dyDescent="0.35">
      <c r="A208" s="1" t="s">
        <v>965</v>
      </c>
      <c r="B208" s="1" t="s">
        <v>966</v>
      </c>
      <c r="C208" s="1" t="s">
        <v>45</v>
      </c>
      <c r="D208" s="1">
        <v>85</v>
      </c>
      <c r="E208" s="2" t="s">
        <v>28</v>
      </c>
      <c r="F208" s="1">
        <f t="shared" si="21"/>
        <v>0</v>
      </c>
      <c r="G208" s="1">
        <v>3664</v>
      </c>
      <c r="H208" s="1">
        <v>3241000</v>
      </c>
      <c r="I208" s="1">
        <v>5422000</v>
      </c>
      <c r="J208" s="1">
        <v>0</v>
      </c>
      <c r="K208" s="1">
        <v>8000</v>
      </c>
      <c r="L208" s="1">
        <v>0</v>
      </c>
      <c r="M208" s="1">
        <v>8671000</v>
      </c>
      <c r="N208" s="1">
        <v>0</v>
      </c>
      <c r="O208" s="1">
        <v>0</v>
      </c>
      <c r="P208" s="1" t="s">
        <v>28</v>
      </c>
      <c r="Q208" s="1">
        <f t="shared" si="22"/>
        <v>0</v>
      </c>
      <c r="R208" s="1" t="s">
        <v>56</v>
      </c>
      <c r="S208" s="1">
        <f t="shared" si="23"/>
        <v>0</v>
      </c>
      <c r="T208" s="1">
        <v>-49821</v>
      </c>
      <c r="U208" s="1">
        <v>-449304</v>
      </c>
      <c r="V208" s="1">
        <v>-37781</v>
      </c>
      <c r="W208" s="1" t="s">
        <v>56</v>
      </c>
      <c r="X208" s="1">
        <f t="shared" si="24"/>
        <v>0</v>
      </c>
      <c r="Y208" s="1" t="s">
        <v>56</v>
      </c>
      <c r="Z208" s="1">
        <f t="shared" si="25"/>
        <v>0</v>
      </c>
      <c r="AA208" s="1">
        <v>-536906</v>
      </c>
      <c r="AB208" s="1" t="s">
        <v>967</v>
      </c>
      <c r="AC208" s="1">
        <f t="shared" si="26"/>
        <v>229350</v>
      </c>
      <c r="AD208" s="1" t="s">
        <v>56</v>
      </c>
      <c r="AE208" s="1">
        <f t="shared" si="27"/>
        <v>0</v>
      </c>
    </row>
    <row r="209" spans="1:31" x14ac:dyDescent="0.35">
      <c r="A209" s="1" t="s">
        <v>1067</v>
      </c>
      <c r="B209" s="1" t="s">
        <v>1068</v>
      </c>
      <c r="C209" s="1" t="s">
        <v>45</v>
      </c>
      <c r="D209" s="1">
        <v>51</v>
      </c>
      <c r="E209" s="2" t="s">
        <v>56</v>
      </c>
      <c r="F209" s="1">
        <f t="shared" si="21"/>
        <v>0</v>
      </c>
      <c r="G209" s="1">
        <v>431</v>
      </c>
      <c r="H209" s="1">
        <v>3904563</v>
      </c>
      <c r="I209" s="1">
        <v>3207466</v>
      </c>
      <c r="J209" s="1">
        <v>965419</v>
      </c>
      <c r="K209" s="1">
        <v>213245</v>
      </c>
      <c r="L209" s="1">
        <v>0</v>
      </c>
      <c r="M209" s="1">
        <v>8249793</v>
      </c>
      <c r="N209" s="1">
        <v>40900</v>
      </c>
      <c r="O209" s="1">
        <v>2</v>
      </c>
      <c r="P209" s="1" t="s">
        <v>1069</v>
      </c>
      <c r="Q209" s="1">
        <f t="shared" si="22"/>
        <v>289086</v>
      </c>
      <c r="R209" s="1" t="s">
        <v>56</v>
      </c>
      <c r="S209" s="1">
        <f t="shared" si="23"/>
        <v>0</v>
      </c>
      <c r="T209" s="1">
        <v>0</v>
      </c>
      <c r="U209" s="1">
        <v>0</v>
      </c>
      <c r="V209" s="1">
        <v>0</v>
      </c>
      <c r="W209" s="1" t="s">
        <v>1070</v>
      </c>
      <c r="X209" s="1">
        <f t="shared" si="24"/>
        <v>-25315</v>
      </c>
      <c r="Y209" s="1" t="s">
        <v>56</v>
      </c>
      <c r="Z209" s="1">
        <f t="shared" si="25"/>
        <v>0</v>
      </c>
      <c r="AA209" s="1">
        <v>-25315</v>
      </c>
      <c r="AB209" s="1" t="s">
        <v>56</v>
      </c>
      <c r="AC209" s="1">
        <f t="shared" si="26"/>
        <v>0</v>
      </c>
      <c r="AD209" s="1" t="s">
        <v>1071</v>
      </c>
      <c r="AE209" s="1">
        <f t="shared" si="27"/>
        <v>74393</v>
      </c>
    </row>
    <row r="210" spans="1:31" x14ac:dyDescent="0.35">
      <c r="A210" s="1" t="s">
        <v>1272</v>
      </c>
      <c r="B210" s="1" t="s">
        <v>1273</v>
      </c>
      <c r="C210" s="1" t="s">
        <v>45</v>
      </c>
      <c r="D210" s="1">
        <v>137</v>
      </c>
      <c r="E210" s="2" t="s">
        <v>1274</v>
      </c>
      <c r="F210" s="1">
        <f t="shared" si="21"/>
        <v>4503</v>
      </c>
      <c r="G210" s="1">
        <v>700</v>
      </c>
      <c r="H210" s="1">
        <v>1957648</v>
      </c>
      <c r="I210" s="1">
        <v>607132</v>
      </c>
      <c r="J210" s="1">
        <v>512463</v>
      </c>
      <c r="K210" s="1">
        <v>45031</v>
      </c>
      <c r="L210" s="1">
        <v>0</v>
      </c>
      <c r="M210" s="1">
        <v>3122274</v>
      </c>
      <c r="N210" s="1">
        <v>0</v>
      </c>
      <c r="O210" s="1">
        <v>1</v>
      </c>
      <c r="P210" s="1" t="s">
        <v>1275</v>
      </c>
      <c r="Q210" s="1">
        <f t="shared" si="22"/>
        <v>10581</v>
      </c>
      <c r="R210" s="1" t="s">
        <v>28</v>
      </c>
      <c r="S210" s="1">
        <f t="shared" si="23"/>
        <v>0</v>
      </c>
      <c r="T210" s="1">
        <v>0</v>
      </c>
      <c r="U210" s="1">
        <v>0</v>
      </c>
      <c r="V210" s="1">
        <v>0</v>
      </c>
      <c r="W210" s="1" t="s">
        <v>28</v>
      </c>
      <c r="X210" s="1">
        <f t="shared" si="24"/>
        <v>0</v>
      </c>
      <c r="Y210" s="1" t="s">
        <v>28</v>
      </c>
      <c r="Z210" s="1">
        <f t="shared" si="25"/>
        <v>0</v>
      </c>
      <c r="AA210" s="1">
        <v>0</v>
      </c>
      <c r="AB210" s="1" t="s">
        <v>28</v>
      </c>
      <c r="AC210" s="1">
        <f t="shared" si="26"/>
        <v>0</v>
      </c>
      <c r="AD210" s="1" t="s">
        <v>28</v>
      </c>
      <c r="AE210" s="1">
        <f t="shared" si="27"/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41F8-EFB4-4496-9157-66EA557530D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3C1D4A-43E5-4CE7-9825-30403243F1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Data Cleaned</vt:lpstr>
      <vt:lpstr>Sheet1</vt:lpstr>
      <vt:lpstr>EAST_OF_ENG</vt:lpstr>
      <vt:lpstr>LONDON_COMM</vt:lpstr>
      <vt:lpstr>MIDLANDS_COMM</vt:lpstr>
      <vt:lpstr>NE_YORK_COMM</vt:lpstr>
      <vt:lpstr>NW_COMM</vt:lpstr>
      <vt:lpstr>SE_COMM</vt:lpstr>
      <vt:lpstr>SW_COMM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Sai Krishna Parthasarathy [pfxt2579]</dc:creator>
  <cp:lastModifiedBy>Aneesh Sai Krishna Parthasarathy [pfxt2579]</cp:lastModifiedBy>
  <dcterms:created xsi:type="dcterms:W3CDTF">2025-06-20T20:41:10Z</dcterms:created>
  <dcterms:modified xsi:type="dcterms:W3CDTF">2025-06-26T12:36:37Z</dcterms:modified>
</cp:coreProperties>
</file>